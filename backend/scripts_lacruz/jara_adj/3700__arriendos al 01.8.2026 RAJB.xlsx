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6f600156a245b70/Documentos/"/>
    </mc:Choice>
  </mc:AlternateContent>
  <xr:revisionPtr revIDLastSave="30" documentId="8_{E92B8E5B-3D60-4D12-9298-AAC8F7E86F85}" xr6:coauthVersionLast="47" xr6:coauthVersionMax="47" xr10:uidLastSave="{4A7D7517-D560-41B0-8762-87DB8CAA3C60}"/>
  <bookViews>
    <workbookView xWindow="-108" yWindow="-108" windowWidth="23256" windowHeight="13896" xr2:uid="{00000000-000D-0000-FFFF-FFFF00000000}"/>
  </bookViews>
  <sheets>
    <sheet name="Arriendos 1" sheetId="1" r:id="rId1"/>
  </sheets>
  <definedNames>
    <definedName name="Arica">#REF!</definedName>
    <definedName name="Aysén">#REF!</definedName>
    <definedName name="Lagos">#REF!</definedName>
    <definedName name="Magallanes">#REF!</definedName>
    <definedName name="Tarapacá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faranvi</author>
  </authors>
  <commentList>
    <comment ref="C9" authorId="0" shapeId="0" xr:uid="{00000000-0006-0000-0000-000001000000}">
      <text>
        <r>
          <rPr>
            <b/>
            <sz val="8"/>
            <color indexed="81"/>
            <rFont val="Tahoma"/>
          </rPr>
          <t>faranvi:</t>
        </r>
        <r>
          <rPr>
            <sz val="8"/>
            <color indexed="81"/>
            <rFont val="Tahoma"/>
          </rPr>
          <t xml:space="preserve">
Ingresar monto que aparece en contrato</t>
        </r>
      </text>
    </comment>
    <comment ref="E9" authorId="0" shapeId="0" xr:uid="{00000000-0006-0000-0000-000002000000}">
      <text>
        <r>
          <rPr>
            <b/>
            <sz val="8"/>
            <color indexed="81"/>
            <rFont val="Tahoma"/>
          </rPr>
          <t>faranvi:</t>
        </r>
        <r>
          <rPr>
            <sz val="8"/>
            <color indexed="81"/>
            <rFont val="Tahoma"/>
          </rPr>
          <t xml:space="preserve">
Valor del avalúo fiscal según certificado</t>
        </r>
      </text>
    </comment>
    <comment ref="H9" authorId="0" shapeId="0" xr:uid="{00000000-0006-0000-0000-000003000000}">
      <text>
        <r>
          <rPr>
            <b/>
            <sz val="8"/>
            <color indexed="81"/>
            <rFont val="Tahoma"/>
          </rPr>
          <t>faranvi:</t>
        </r>
        <r>
          <rPr>
            <sz val="8"/>
            <color indexed="81"/>
            <rFont val="Tahoma"/>
          </rPr>
          <t xml:space="preserve">
(inicio contrato actual +  contrato anterior para ver continuidad)</t>
        </r>
      </text>
    </comment>
    <comment ref="I9" authorId="0" shapeId="0" xr:uid="{00000000-0006-0000-0000-000004000000}">
      <text>
        <r>
          <rPr>
            <b/>
            <sz val="8"/>
            <color indexed="81"/>
            <rFont val="Tahoma"/>
          </rPr>
          <t>faranvi:</t>
        </r>
        <r>
          <rPr>
            <sz val="8"/>
            <color indexed="81"/>
            <rFont val="Tahoma"/>
          </rPr>
          <t xml:space="preserve">
Monto menor 3 úiltimos pagos</t>
        </r>
      </text>
    </comment>
    <comment ref="J9" authorId="0" shapeId="0" xr:uid="{00000000-0006-0000-0000-000005000000}">
      <text>
        <r>
          <rPr>
            <b/>
            <sz val="8"/>
            <color indexed="81"/>
            <rFont val="Tahoma"/>
          </rPr>
          <t>faranvi:</t>
        </r>
        <r>
          <rPr>
            <sz val="8"/>
            <color indexed="81"/>
            <rFont val="Tahoma"/>
          </rPr>
          <t xml:space="preserve">
(escritura, Pago contribuciones, Certificado de dominio CBR)</t>
        </r>
      </text>
    </comment>
  </commentList>
</comments>
</file>

<file path=xl/sharedStrings.xml><?xml version="1.0" encoding="utf-8"?>
<sst xmlns="http://schemas.openxmlformats.org/spreadsheetml/2006/main" count="245" uniqueCount="125">
  <si>
    <t>Guía Resumen Acreditación de Arriendos</t>
  </si>
  <si>
    <t>Arrendador</t>
  </si>
  <si>
    <t>planilla checklist para acreditación de arriendos, favor completar la información de las propiedades a considerar y subirlo en evento, los arriendos deben contar con escritura a nombre exclusivo  de cliente o comprobante del ultimo pago de contribuciones más avaluo fiscal, depósitos en cuenta 3 últimos meses (anotar que pagos corresponden a que contratos) y contratos notariados</t>
  </si>
  <si>
    <t>Nombre</t>
  </si>
  <si>
    <t>RUT</t>
  </si>
  <si>
    <t>Propiedad</t>
  </si>
  <si>
    <t>Canon Arriendo</t>
  </si>
  <si>
    <t>Rol</t>
  </si>
  <si>
    <t>Avalúo Fiscal</t>
  </si>
  <si>
    <t>Rut Arrendatario</t>
  </si>
  <si>
    <t>Dirección</t>
  </si>
  <si>
    <t xml:space="preserve">Fecha Ctto. de Arriendo </t>
  </si>
  <si>
    <t>Depósitos en Cuenta</t>
  </si>
  <si>
    <t>Acreditación de Dominio</t>
  </si>
  <si>
    <t>01902-00285</t>
  </si>
  <si>
    <t>16.018.207-5 Andrea Cuevas Olguin</t>
  </si>
  <si>
    <t>García hurtado de Mendoza 7923 casa 18, la florida</t>
  </si>
  <si>
    <t>si</t>
  </si>
  <si>
    <t>Escritura</t>
  </si>
  <si>
    <t>2156-8</t>
  </si>
  <si>
    <t>26.885.236-0 Ralf Castellanos G.</t>
  </si>
  <si>
    <t>Inglaterra 1144 Torre B2 depto. 208, Independencia</t>
  </si>
  <si>
    <t>2156-78</t>
  </si>
  <si>
    <t>25.880.695-6 Jorge Quijano Larrahondo</t>
  </si>
  <si>
    <t>Inglaterra 1144 Torre B2 depto. 703, Independencia</t>
  </si>
  <si>
    <t>2156-111</t>
  </si>
  <si>
    <t>10.823.995-6 Joel Dubo Diaz</t>
  </si>
  <si>
    <t>Inglaterra 1144 Torre B2 depto.  906, Independencia</t>
  </si>
  <si>
    <t>2156-153</t>
  </si>
  <si>
    <t>25.721.447-8 Jesus Briceño Briceño</t>
  </si>
  <si>
    <t>Inglaterra 1144 Torre B2 depto. 1203, Independencia</t>
  </si>
  <si>
    <t>2156-200</t>
  </si>
  <si>
    <t>26.800.463-7 Karla Andreina Perez</t>
  </si>
  <si>
    <t>Inglaterra 1144 Torre B2 depto. 1505, Independencia</t>
  </si>
  <si>
    <t>2156-228</t>
  </si>
  <si>
    <t>26.332.152-4 Kellys Merchan Rosales</t>
  </si>
  <si>
    <t>Inglaterra 1144 Torre B2 depto. 1703, Independencia</t>
  </si>
  <si>
    <t>2156-332</t>
  </si>
  <si>
    <t>25.656.812-8 Orlando Amundaray H.</t>
  </si>
  <si>
    <t>Inglaterra 1144 Torre B2 depto. 2402, Independencia</t>
  </si>
  <si>
    <t>2156-347</t>
  </si>
  <si>
    <t>24.032.911-5 Cristhofer Feliz Reyes</t>
  </si>
  <si>
    <t>Inglaterra 1144 Torre B2 depto. 2502, Independencia</t>
  </si>
  <si>
    <t>3733-119</t>
  </si>
  <si>
    <t>13.836.048-2 Esteban Silva Soto</t>
  </si>
  <si>
    <t>General Gana 1063 Torre A depto. 406, Stgo Centro</t>
  </si>
  <si>
    <t>escritura</t>
  </si>
  <si>
    <t>680-200</t>
  </si>
  <si>
    <t>12.133.212-4 Rene Villalobos M.</t>
  </si>
  <si>
    <t>Camino interior PC 353, el tabo V región</t>
  </si>
  <si>
    <t>01.03.2015</t>
  </si>
  <si>
    <t>05826-00009</t>
  </si>
  <si>
    <t>13.588.885-5 Jose Arriagada Antillanca</t>
  </si>
  <si>
    <t>Isla Tierra del Fuego 8827 depto 1, La Granja</t>
  </si>
  <si>
    <t>05826-00010</t>
  </si>
  <si>
    <t>27.263.087-9 Alejandro Garcia Leon</t>
  </si>
  <si>
    <t>Isla Tierra del Fuego 8827 depto 2, La Granja</t>
  </si>
  <si>
    <t>Pass AT122765 Luisa Lopez Duran</t>
  </si>
  <si>
    <t>Isla Tierra del Fuego 8827 depto 3, La Granja</t>
  </si>
  <si>
    <t>19.236.281-4 Felipe Torrezuriz Roullet</t>
  </si>
  <si>
    <t>Isla Tierra del Fuego 8827 depto 4, La Granja</t>
  </si>
  <si>
    <t>17.768.691-3 Ana Vargas Morales</t>
  </si>
  <si>
    <t>Isla Tierra del Fuego 8827 depto 5, La Granja</t>
  </si>
  <si>
    <t>5.958.065-5 Ruth Soto Artega</t>
  </si>
  <si>
    <t>Isla Tierra del Fuego 8827 depto 6, La Granja</t>
  </si>
  <si>
    <t>11.633,295-7 Alexsy Ponce Alvarado</t>
  </si>
  <si>
    <t>Isla Tierra del Fuego 8827 depto 7, La Granja</t>
  </si>
  <si>
    <t>17.215.608-8 Jose Huenchucan Arriagada</t>
  </si>
  <si>
    <t>Isla Tierra del Fuego 8827 depto 8, La Granja</t>
  </si>
  <si>
    <t>19.570.291-8 Fernando Contreras Vicuña</t>
  </si>
  <si>
    <t>Isla Tierra del Fuego 8827 depto 9, La Granja</t>
  </si>
  <si>
    <t>26.622.931-3 Eudomario Manzanilla R.</t>
  </si>
  <si>
    <t>Isla Tierra del Fuego 8827 depto 10, La Granja</t>
  </si>
  <si>
    <t>26.788.812-4 Yhonathan Teran Cuica</t>
  </si>
  <si>
    <t>Isla Tierra del Fuego 8827 depto 11, La Granja</t>
  </si>
  <si>
    <t>26.503.925-1 Carlos Fernandez Oropeza</t>
  </si>
  <si>
    <t>Isla Tierra del Fuego 8827 depto 12, La Granja</t>
  </si>
  <si>
    <t>17.929.565-2 Fanny Sepulveda Jorquera</t>
  </si>
  <si>
    <t>Isla Tierra del Fuego 8827 depto 13, La Granja</t>
  </si>
  <si>
    <t>02633-00019</t>
  </si>
  <si>
    <t>20.085-565-5 Tabhata nicole Mercado dare</t>
  </si>
  <si>
    <t>12 poniete 8490, casa 1A, La Granja</t>
  </si>
  <si>
    <t>glidden Alberto Osteicochea Petit</t>
  </si>
  <si>
    <t>12 poniete 8490, casa 2A, La Granja</t>
  </si>
  <si>
    <t>Pass 135725111 Loreangie Jose Rendon Fernandez</t>
  </si>
  <si>
    <t>12 poniete 8490, casa 3A, La Granja</t>
  </si>
  <si>
    <t xml:space="preserve"> Pas 176438766 Wilyoel Hernandez Gonzales </t>
  </si>
  <si>
    <t>12 poniete 8490, casa 1B, La Granja</t>
  </si>
  <si>
    <t>Viviana</t>
  </si>
  <si>
    <t>12 poniete 8490, casa 2B, La Granja</t>
  </si>
  <si>
    <t>mariotsy</t>
  </si>
  <si>
    <t>12 poniete 8490, casa 3B, La Granja</t>
  </si>
  <si>
    <t>Alex</t>
  </si>
  <si>
    <t>12 poniete 8490, casa 4B, La Granja</t>
  </si>
  <si>
    <t>Mauri</t>
  </si>
  <si>
    <t>12 poniete 8490, casa 5B, La Granja</t>
  </si>
  <si>
    <t xml:space="preserve">Odri </t>
  </si>
  <si>
    <t>12 poniete 8490, casa 1C, La Granja</t>
  </si>
  <si>
    <t>Jhosbel Ramirez Gonzalez</t>
  </si>
  <si>
    <t>12 poniete 8490, casa 2C, La Granja</t>
  </si>
  <si>
    <t>Jacok</t>
  </si>
  <si>
    <t>12 poniete 8490, casa 3C, La Granja</t>
  </si>
  <si>
    <t>Saul hernandez</t>
  </si>
  <si>
    <t>12 poniete 8490, casa 4C, La Granja</t>
  </si>
  <si>
    <t>yujeibis</t>
  </si>
  <si>
    <t>12 poniete 8490, casa 5C La Granja</t>
  </si>
  <si>
    <t>Gerardo</t>
  </si>
  <si>
    <t>12 poniete 8490, casa 6C, La Granja</t>
  </si>
  <si>
    <t>05672-00011</t>
  </si>
  <si>
    <t>Amanda</t>
  </si>
  <si>
    <t>Pasaje PENUELAS 0398 casa1, La Granja</t>
  </si>
  <si>
    <t>Enyer</t>
  </si>
  <si>
    <t>Pasaje PENUELAS 0398 casa2, La Granja</t>
  </si>
  <si>
    <t>27.521.789 Yusmari Flores Perez</t>
  </si>
  <si>
    <t>Pasaje PENUELAS 0398 casa3, La Granja</t>
  </si>
  <si>
    <t>17.837.441-9 Cristina Gaete Pavez</t>
  </si>
  <si>
    <t>Pasaje PENUELAS 0398 casa4, La Granja</t>
  </si>
  <si>
    <t>28.469.260-8 Roinep Ruiz Castillo</t>
  </si>
  <si>
    <t>Pasaje PENUELAS 0398 casa5, La Granja</t>
  </si>
  <si>
    <t>26.683.296-6 Vito Vecchio Urbina</t>
  </si>
  <si>
    <t>Pasaje PENUELAS 0398 casa6, La Granja</t>
  </si>
  <si>
    <t>Camila Segurl</t>
  </si>
  <si>
    <t>Pasaje PENUELAS 0398 casa7, La Granja</t>
  </si>
  <si>
    <t>22.745.370-2 Maria Chancafe llanos</t>
  </si>
  <si>
    <t>Pasaje PENUELAS 0398 casa8, La Granja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</si>
</sst>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64" formatCode="_ * #,##0.00_ ;_ * \-#,##0.00_ ;_ * &quot;-&quot;??_ ;_ @_ "/>
    <numFmt numFmtId="165" formatCode="&quot;$&quot;\ #,##0"/>
    <numFmt numFmtId="166" formatCode="_-[$€-2]\ * #,##0.00_-;\-[$€-2]\ * #,##0.00_-;_-[$€-2]\ * &quot;-&quot;??_-"/>
    <numFmt numFmtId="167" formatCode="_-* #,##0.00\ _€_-;\-* #,##0.00\ _€_-;_-* &quot;-&quot;??\ _€_-;_-@_-"/>
    <numFmt numFmtId="168" formatCode="0%;\-0%;#"/>
  </numFmts>
  <fonts count="20">
    <font>
      <sz val="11"/>
      <color theme="1"/>
      <name val="Calibri"/>
      <family val="2"/>
      <scheme val="minor"/>
    </font>
    <font>
      <b/>
      <sz val="18"/>
      <color theme="1"/>
      <name val="Calibri"/>
      <scheme val="minor"/>
    </font>
    <font>
      <b/>
      <sz val="12"/>
      <color theme="1"/>
      <name val="Calibri"/>
      <scheme val="minor"/>
    </font>
    <font>
      <b/>
      <sz val="11"/>
      <color theme="1"/>
      <name val="Calibri"/>
      <scheme val="minor"/>
    </font>
    <font>
      <sz val="12"/>
      <color theme="1"/>
      <name val="Calibri"/>
      <scheme val="minor"/>
    </font>
    <font>
      <sz val="10"/>
      <name val="Arial"/>
    </font>
    <font>
      <sz val="10"/>
      <name val="Courier New"/>
      <family val="3"/>
    </font>
    <font>
      <sz val="10"/>
      <name val="Calibri"/>
    </font>
    <font>
      <sz val="11"/>
      <color indexed="8"/>
      <name val="Calibri"/>
    </font>
    <font>
      <sz val="10"/>
      <name val="Courier"/>
      <family val="3"/>
    </font>
    <font>
      <sz val="11"/>
      <color indexed="8"/>
      <name val="Calibri"/>
      <charset val="1"/>
    </font>
    <font>
      <u/>
      <sz val="10"/>
      <color indexed="12"/>
      <name val="Arial"/>
    </font>
    <font>
      <sz val="10"/>
      <color theme="1"/>
      <name val="Calibri"/>
      <scheme val="minor"/>
    </font>
    <font>
      <sz val="8"/>
      <color theme="1"/>
      <name val="Arial Narrow"/>
    </font>
    <font>
      <sz val="8"/>
      <color theme="1"/>
      <name val="Calibri"/>
      <scheme val="minor"/>
    </font>
    <font>
      <sz val="10"/>
      <color indexed="8"/>
      <name val="Calibri"/>
    </font>
    <font>
      <sz val="11"/>
      <color theme="1"/>
      <name val="Calibri"/>
      <family val="2"/>
      <scheme val="minor"/>
    </font>
    <font>
      <b/>
      <sz val="8"/>
      <color indexed="81"/>
      <name val="Tahoma"/>
    </font>
    <font>
      <sz val="8"/>
      <color indexed="81"/>
      <name val="Tahoma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12"/>
      </right>
      <top/>
      <bottom/>
      <diagonal/>
    </border>
  </borders>
  <cellStyleXfs count="241">
    <xf numFmtId="0" fontId="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>
      <alignment vertical="center"/>
    </xf>
    <xf numFmtId="0" fontId="7" fillId="0" borderId="0"/>
    <xf numFmtId="0" fontId="5" fillId="0" borderId="0">
      <alignment vertical="center"/>
    </xf>
    <xf numFmtId="0" fontId="7" fillId="0" borderId="0"/>
    <xf numFmtId="0" fontId="5" fillId="0" borderId="0">
      <alignment vertical="center"/>
    </xf>
    <xf numFmtId="0" fontId="7" fillId="0" borderId="0"/>
    <xf numFmtId="0" fontId="7" fillId="0" borderId="0"/>
    <xf numFmtId="0" fontId="7" fillId="0" borderId="0"/>
    <xf numFmtId="0" fontId="5" fillId="0" borderId="0">
      <alignment vertical="center"/>
    </xf>
    <xf numFmtId="0" fontId="5" fillId="0" borderId="0">
      <alignment vertical="center"/>
    </xf>
    <xf numFmtId="0" fontId="7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/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8" fillId="0" borderId="0">
      <alignment vertical="center"/>
    </xf>
    <xf numFmtId="0" fontId="5" fillId="0" borderId="0"/>
    <xf numFmtId="0" fontId="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8" fillId="0" borderId="0"/>
    <xf numFmtId="166" fontId="9" fillId="0" borderId="0" applyFont="0" applyFill="0" applyBorder="0" applyAlignment="0" applyProtection="0">
      <alignment vertical="center"/>
    </xf>
    <xf numFmtId="0" fontId="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8" fillId="0" borderId="0"/>
    <xf numFmtId="0" fontId="11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8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8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8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6" fillId="0" borderId="0"/>
    <xf numFmtId="0" fontId="7" fillId="0" borderId="0"/>
    <xf numFmtId="0" fontId="16" fillId="0" borderId="0"/>
    <xf numFmtId="0" fontId="7" fillId="0" borderId="0"/>
    <xf numFmtId="0" fontId="16" fillId="0" borderId="0"/>
    <xf numFmtId="0" fontId="16" fillId="0" borderId="0"/>
    <xf numFmtId="0" fontId="16" fillId="0" borderId="0"/>
    <xf numFmtId="0" fontId="7" fillId="0" borderId="0"/>
    <xf numFmtId="0" fontId="7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16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7" fillId="0" borderId="0"/>
    <xf numFmtId="0" fontId="16" fillId="0" borderId="0"/>
    <xf numFmtId="0" fontId="5" fillId="0" borderId="0"/>
    <xf numFmtId="0" fontId="16" fillId="0" borderId="0"/>
    <xf numFmtId="0" fontId="12" fillId="0" borderId="0"/>
    <xf numFmtId="0" fontId="13" fillId="0" borderId="0"/>
    <xf numFmtId="0" fontId="13" fillId="0" borderId="0"/>
    <xf numFmtId="0" fontId="16" fillId="0" borderId="0"/>
    <xf numFmtId="0" fontId="13" fillId="0" borderId="0"/>
    <xf numFmtId="0" fontId="12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16" fillId="0" borderId="0"/>
    <xf numFmtId="0" fontId="13" fillId="0" borderId="0"/>
    <xf numFmtId="0" fontId="16" fillId="0" borderId="0"/>
    <xf numFmtId="0" fontId="5" fillId="0" borderId="0"/>
    <xf numFmtId="0" fontId="5" fillId="0" borderId="0"/>
    <xf numFmtId="0" fontId="12" fillId="0" borderId="0"/>
    <xf numFmtId="0" fontId="5" fillId="0" borderId="0"/>
    <xf numFmtId="0" fontId="5" fillId="0" borderId="0"/>
    <xf numFmtId="0" fontId="5" fillId="0" borderId="0"/>
    <xf numFmtId="0" fontId="16" fillId="0" borderId="0"/>
    <xf numFmtId="0" fontId="5" fillId="0" borderId="0"/>
    <xf numFmtId="0" fontId="5" fillId="0" borderId="0"/>
    <xf numFmtId="0" fontId="5" fillId="0" borderId="0"/>
    <xf numFmtId="0" fontId="16" fillId="0" borderId="0"/>
    <xf numFmtId="0" fontId="5" fillId="0" borderId="0"/>
    <xf numFmtId="0" fontId="16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0" fontId="5" fillId="0" borderId="0"/>
    <xf numFmtId="0" fontId="16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1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>
      <alignment vertical="center"/>
    </xf>
    <xf numFmtId="0" fontId="16" fillId="0" borderId="0"/>
    <xf numFmtId="0" fontId="16" fillId="0" borderId="0"/>
    <xf numFmtId="168" fontId="5" fillId="0" borderId="12" applyFill="0" applyBorder="0" applyProtection="0">
      <alignment horizontal="center" vertical="center"/>
    </xf>
    <xf numFmtId="9" fontId="14" fillId="0" borderId="0" applyFont="0" applyFill="0" applyBorder="0" applyProtection="0">
      <alignment horizontal="center" vertical="center"/>
    </xf>
    <xf numFmtId="168" fontId="5" fillId="0" borderId="12" applyFill="0" applyBorder="0" applyProtection="0">
      <alignment horizontal="center" vertical="center"/>
    </xf>
    <xf numFmtId="9" fontId="14" fillId="0" borderId="0" applyFont="0" applyFill="0" applyBorder="0" applyProtection="0">
      <alignment horizontal="center" vertical="center"/>
    </xf>
    <xf numFmtId="168" fontId="5" fillId="0" borderId="12" applyFill="0" applyBorder="0" applyProtection="0">
      <alignment horizontal="center" vertical="center"/>
    </xf>
    <xf numFmtId="168" fontId="5" fillId="0" borderId="12" applyFill="0" applyBorder="0" applyProtection="0">
      <alignment horizontal="center" vertical="center"/>
    </xf>
    <xf numFmtId="168" fontId="5" fillId="0" borderId="12" applyFill="0" applyBorder="0" applyProtection="0">
      <alignment horizontal="center" vertical="center"/>
    </xf>
    <xf numFmtId="9" fontId="14" fillId="0" borderId="0" applyFont="0" applyFill="0" applyBorder="0" applyProtection="0">
      <alignment horizontal="center" vertical="center"/>
    </xf>
    <xf numFmtId="9" fontId="14" fillId="0" borderId="0" applyFont="0" applyFill="0" applyBorder="0" applyProtection="0">
      <alignment horizontal="center" vertical="center"/>
    </xf>
    <xf numFmtId="168" fontId="5" fillId="0" borderId="12" applyFill="0" applyBorder="0" applyProtection="0">
      <alignment horizontal="center" vertical="center"/>
    </xf>
    <xf numFmtId="9" fontId="14" fillId="0" borderId="0" applyFont="0" applyFill="0" applyBorder="0" applyProtection="0">
      <alignment horizontal="center" vertical="center"/>
    </xf>
    <xf numFmtId="9" fontId="14" fillId="0" borderId="0" applyFont="0" applyFill="0" applyBorder="0" applyProtection="0">
      <alignment horizontal="center" vertical="center"/>
    </xf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9" fontId="2" fillId="3" borderId="4" xfId="0" applyNumberFormat="1" applyFont="1" applyFill="1" applyBorder="1" applyAlignment="1">
      <alignment vertical="distributed" wrapText="1"/>
    </xf>
    <xf numFmtId="49" fontId="2" fillId="3" borderId="5" xfId="0" applyNumberFormat="1" applyFont="1" applyFill="1" applyBorder="1" applyAlignment="1">
      <alignment vertical="distributed" wrapText="1"/>
    </xf>
    <xf numFmtId="49" fontId="2" fillId="3" borderId="6" xfId="0" applyNumberFormat="1" applyFont="1" applyFill="1" applyBorder="1" applyAlignment="1">
      <alignment vertical="distributed" wrapText="1"/>
    </xf>
    <xf numFmtId="49" fontId="2" fillId="3" borderId="7" xfId="0" applyNumberFormat="1" applyFont="1" applyFill="1" applyBorder="1" applyAlignment="1">
      <alignment vertical="distributed" wrapText="1"/>
    </xf>
    <xf numFmtId="49" fontId="2" fillId="3" borderId="0" xfId="0" applyNumberFormat="1" applyFont="1" applyFill="1" applyAlignment="1">
      <alignment vertical="distributed" wrapText="1"/>
    </xf>
    <xf numFmtId="49" fontId="2" fillId="3" borderId="8" xfId="0" applyNumberFormat="1" applyFont="1" applyFill="1" applyBorder="1" applyAlignment="1">
      <alignment vertical="distributed" wrapText="1"/>
    </xf>
    <xf numFmtId="49" fontId="2" fillId="3" borderId="9" xfId="0" applyNumberFormat="1" applyFont="1" applyFill="1" applyBorder="1" applyAlignment="1">
      <alignment vertical="distributed" wrapText="1"/>
    </xf>
    <xf numFmtId="49" fontId="2" fillId="3" borderId="10" xfId="0" applyNumberFormat="1" applyFont="1" applyFill="1" applyBorder="1" applyAlignment="1">
      <alignment vertical="distributed" wrapText="1"/>
    </xf>
    <xf numFmtId="49" fontId="2" fillId="3" borderId="11" xfId="0" applyNumberFormat="1" applyFont="1" applyFill="1" applyBorder="1" applyAlignment="1">
      <alignment vertical="distributed" wrapText="1"/>
    </xf>
  </cellXfs>
  <cellStyles count="241">
    <cellStyle name="%" xfId="1" xr:uid="{00000000-0005-0000-0000-000001000000}"/>
    <cellStyle name="% 2" xfId="2" xr:uid="{00000000-0005-0000-0000-000002000000}"/>
    <cellStyle name="%_Originación ACA 08-01" xfId="3" xr:uid="{00000000-0005-0000-0000-000003000000}"/>
    <cellStyle name="%_Tabla SNEX" xfId="4" xr:uid="{00000000-0005-0000-0000-000004000000}"/>
    <cellStyle name="bstitutes]_x000d__x000a_; The following mappings take Word for MS-DOS names, PostScript names, and TrueType_x000d__x000a_; names into account" xfId="5" xr:uid="{00000000-0005-0000-0000-000005000000}"/>
    <cellStyle name="bstitutes]_x000d__x000a_; The following mappings take Word for MS-DOS names, PostScript names, and TrueType_x000d__x000a_; names into account 10" xfId="6" xr:uid="{00000000-0005-0000-0000-000006000000}"/>
    <cellStyle name="bstitutes]_x000d__x000a_; The following mappings take Word for MS-DOS names, PostScript names, and TrueType_x000d__x000a_; names into account 2" xfId="7" xr:uid="{00000000-0005-0000-0000-000007000000}"/>
    <cellStyle name="bstitutes]_x000d__x000a_; The following mappings take Word for MS-DOS names, PostScript names, and TrueType_x000d__x000a_; names into account 2 2" xfId="8" xr:uid="{00000000-0005-0000-0000-000008000000}"/>
    <cellStyle name="bstitutes]_x000d__x000a_; The following mappings take Word for MS-DOS names, PostScript names, and TrueType_x000d__x000a_; names into account 2 2 2" xfId="9" xr:uid="{00000000-0005-0000-0000-000009000000}"/>
    <cellStyle name="bstitutes]_x000d__x000a_; The following mappings take Word for MS-DOS names, PostScript names, and TrueType_x000d__x000a_; names into account 2 2 2 2" xfId="10" xr:uid="{00000000-0005-0000-0000-00000A000000}"/>
    <cellStyle name="bstitutes]_x000d__x000a_; The following mappings take Word for MS-DOS names, PostScript names, and TrueType_x000d__x000a_; names into account 2 2 2 2 2" xfId="11" xr:uid="{00000000-0005-0000-0000-00000B000000}"/>
    <cellStyle name="bstitutes]_x000d__x000a_; The following mappings take Word for MS-DOS names, PostScript names, and TrueType_x000d__x000a_; names into account 2 2 2 3" xfId="12" xr:uid="{00000000-0005-0000-0000-00000C000000}"/>
    <cellStyle name="bstitutes]_x000d__x000a_; The following mappings take Word for MS-DOS names, PostScript names, and TrueType_x000d__x000a_; names into account 2 2 3" xfId="13" xr:uid="{00000000-0005-0000-0000-00000D000000}"/>
    <cellStyle name="bstitutes]_x000d__x000a_; The following mappings take Word for MS-DOS names, PostScript names, and TrueType_x000d__x000a_; names into account 2 2 3 2" xfId="14" xr:uid="{00000000-0005-0000-0000-00000E000000}"/>
    <cellStyle name="bstitutes]_x000d__x000a_; The following mappings take Word for MS-DOS names, PostScript names, and TrueType_x000d__x000a_; names into account 2 3" xfId="15" xr:uid="{00000000-0005-0000-0000-00000F000000}"/>
    <cellStyle name="bstitutes]_x000d__x000a_; The following mappings take Word for MS-DOS names, PostScript names, and TrueType_x000d__x000a_; names into account 2 3 2" xfId="16" xr:uid="{00000000-0005-0000-0000-000010000000}"/>
    <cellStyle name="bstitutes]_x000d__x000a_; The following mappings take Word for MS-DOS names, PostScript names, and TrueType_x000d__x000a_; names into account 2 4" xfId="17" xr:uid="{00000000-0005-0000-0000-000011000000}"/>
    <cellStyle name="bstitutes]_x000d__x000a_; The following mappings take Word for MS-DOS names, PostScript names, and TrueType_x000d__x000a_; names into account 2 5" xfId="18" xr:uid="{00000000-0005-0000-0000-000012000000}"/>
    <cellStyle name="bstitutes]_x000d__x000a_; The following mappings take Word for MS-DOS names, PostScript names, and TrueType_x000d__x000a_; names into account 3" xfId="19" xr:uid="{00000000-0005-0000-0000-000013000000}"/>
    <cellStyle name="bstitutes]_x000d__x000a_; The following mappings take Word for MS-DOS names, PostScript names, and TrueType_x000d__x000a_; names into account 3 2" xfId="20" xr:uid="{00000000-0005-0000-0000-000014000000}"/>
    <cellStyle name="bstitutes]_x000d__x000a_; The following mappings take Word for MS-DOS names, PostScript names, and TrueType_x000d__x000a_; names into account 3 2 2" xfId="21" xr:uid="{00000000-0005-0000-0000-000015000000}"/>
    <cellStyle name="bstitutes]_x000d__x000a_; The following mappings take Word for MS-DOS names, PostScript names, and TrueType_x000d__x000a_; names into account 3 2 2 2" xfId="22" xr:uid="{00000000-0005-0000-0000-000016000000}"/>
    <cellStyle name="bstitutes]_x000d__x000a_; The following mappings take Word for MS-DOS names, PostScript names, and TrueType_x000d__x000a_; names into account 3 2 2 2 2" xfId="23" xr:uid="{00000000-0005-0000-0000-000017000000}"/>
    <cellStyle name="bstitutes]_x000d__x000a_; The following mappings take Word for MS-DOS names, PostScript names, and TrueType_x000d__x000a_; names into account 3 2 2 3" xfId="24" xr:uid="{00000000-0005-0000-0000-000018000000}"/>
    <cellStyle name="bstitutes]_x000d__x000a_; The following mappings take Word for MS-DOS names, PostScript names, and TrueType_x000d__x000a_; names into account 3 2 3" xfId="25" xr:uid="{00000000-0005-0000-0000-000019000000}"/>
    <cellStyle name="bstitutes]_x000d__x000a_; The following mappings take Word for MS-DOS names, PostScript names, and TrueType_x000d__x000a_; names into account 3 2 3 2" xfId="26" xr:uid="{00000000-0005-0000-0000-00001A000000}"/>
    <cellStyle name="bstitutes]_x000d__x000a_; The following mappings take Word for MS-DOS names, PostScript names, and TrueType_x000d__x000a_; names into account 3 3" xfId="27" xr:uid="{00000000-0005-0000-0000-00001B000000}"/>
    <cellStyle name="bstitutes]_x000d__x000a_; The following mappings take Word for MS-DOS names, PostScript names, and TrueType_x000d__x000a_; names into account 3 3 2" xfId="28" xr:uid="{00000000-0005-0000-0000-00001C000000}"/>
    <cellStyle name="bstitutes]_x000d__x000a_; The following mappings take Word for MS-DOS names, PostScript names, and TrueType_x000d__x000a_; names into account 4" xfId="29" xr:uid="{00000000-0005-0000-0000-00001D000000}"/>
    <cellStyle name="bstitutes]_x000d__x000a_; The following mappings take Word for MS-DOS names, PostScript names, and TrueType_x000d__x000a_; names into account 5" xfId="30" xr:uid="{00000000-0005-0000-0000-00001E000000}"/>
    <cellStyle name="bstitutes]_x000d__x000a_; The following mappings take Word for MS-DOS names, PostScript names, and TrueType_x000d__x000a_; names into account 6" xfId="31" xr:uid="{00000000-0005-0000-0000-00001F000000}"/>
    <cellStyle name="bstitutes]_x000d__x000a_; The following mappings take Word for MS-DOS names, PostScript names, and TrueType_x000d__x000a_; names into account 7" xfId="32" xr:uid="{00000000-0005-0000-0000-000020000000}"/>
    <cellStyle name="bstitutes]_x000d__x000a_; The following mappings take Word for MS-DOS names, PostScript names, and TrueType_x000d__x000a_; names into account 7 2" xfId="33" xr:uid="{00000000-0005-0000-0000-000021000000}"/>
    <cellStyle name="bstitutes]_x000d__x000a_; The following mappings take Word for MS-DOS names, PostScript names, and TrueType_x000d__x000a_; names into account 8" xfId="34" xr:uid="{00000000-0005-0000-0000-000022000000}"/>
    <cellStyle name="bstitutes]_x000d__x000a_; The following mappings take Word for MS-DOS names, PostScript names, and TrueType_x000d__x000a_; names into account 9" xfId="35" xr:uid="{00000000-0005-0000-0000-000023000000}"/>
    <cellStyle name="bstitutes]_x000d__x000a_; The following mappings take Word for MS-DOS names, PostScript names, and TrueType_x000d__x000a_; names into account_detalle" xfId="36" xr:uid="{00000000-0005-0000-0000-000024000000}"/>
    <cellStyle name="Diseño" xfId="37" xr:uid="{00000000-0005-0000-0000-000025000000}"/>
    <cellStyle name="Diseño 2" xfId="38" xr:uid="{00000000-0005-0000-0000-000026000000}"/>
    <cellStyle name="Diseño 2 10" xfId="39" xr:uid="{00000000-0005-0000-0000-000027000000}"/>
    <cellStyle name="Diseño 2 11" xfId="40" xr:uid="{00000000-0005-0000-0000-000028000000}"/>
    <cellStyle name="Diseño 2 2" xfId="41" xr:uid="{00000000-0005-0000-0000-000029000000}"/>
    <cellStyle name="Diseño 2 3" xfId="42" xr:uid="{00000000-0005-0000-0000-00002A000000}"/>
    <cellStyle name="Diseño 2 4" xfId="43" xr:uid="{00000000-0005-0000-0000-00002B000000}"/>
    <cellStyle name="Diseño 2 5" xfId="44" xr:uid="{00000000-0005-0000-0000-00002C000000}"/>
    <cellStyle name="Diseño 2 6" xfId="45" xr:uid="{00000000-0005-0000-0000-00002D000000}"/>
    <cellStyle name="Diseño 2 7" xfId="46" xr:uid="{00000000-0005-0000-0000-00002E000000}"/>
    <cellStyle name="Diseño 2 8" xfId="47" xr:uid="{00000000-0005-0000-0000-00002F000000}"/>
    <cellStyle name="Diseño 2 9" xfId="48" xr:uid="{00000000-0005-0000-0000-000030000000}"/>
    <cellStyle name="Diseño 3" xfId="49" xr:uid="{00000000-0005-0000-0000-000031000000}"/>
    <cellStyle name="Diseño 4" xfId="50" xr:uid="{00000000-0005-0000-0000-000032000000}"/>
    <cellStyle name="Diseño 5" xfId="51" xr:uid="{00000000-0005-0000-0000-000033000000}"/>
    <cellStyle name="Euro" xfId="52" xr:uid="{00000000-0005-0000-0000-000034000000}"/>
    <cellStyle name="Excel Built-in Normal" xfId="53" xr:uid="{00000000-0005-0000-0000-000035000000}"/>
    <cellStyle name="Excel Built-in Normal 2" xfId="54" xr:uid="{00000000-0005-0000-0000-000036000000}"/>
    <cellStyle name="Excel Built-in Normal 3" xfId="55" xr:uid="{00000000-0005-0000-0000-000037000000}"/>
    <cellStyle name="Excel Built-in Normal 4" xfId="56" xr:uid="{00000000-0005-0000-0000-000038000000}"/>
    <cellStyle name="Excel Built-in Normal 5" xfId="57" xr:uid="{00000000-0005-0000-0000-000039000000}"/>
    <cellStyle name="Excel Built-in Normal 6" xfId="58" xr:uid="{00000000-0005-0000-0000-00003A000000}"/>
    <cellStyle name="Excel Built-in Normal 7" xfId="59" xr:uid="{00000000-0005-0000-0000-00003B000000}"/>
    <cellStyle name="Excel Built-in Normal 8" xfId="60" xr:uid="{00000000-0005-0000-0000-00003C000000}"/>
    <cellStyle name="Excel Built-in Percent" xfId="61" xr:uid="{00000000-0005-0000-0000-00003D000000}"/>
    <cellStyle name="Hipervínculo 2" xfId="62" xr:uid="{00000000-0005-0000-0000-00003E000000}"/>
    <cellStyle name="l]_x000d__x000a_Path=M:\RIOCEN01_x000d__x000a_Name=Carlos Emilio Brousse_x000d__x000a_DDEApps=nsf,nsg,nsh,ntf,ns2,ors,org_x000d__x000a_SmartIcons=Todos_x000d__x000a_" xfId="63" xr:uid="{00000000-0005-0000-0000-00003F000000}"/>
    <cellStyle name="l]_x000d__x000a_Path=M:\RIOCEN01_x000d__x000a_Name=Carlos Emilio Brousse_x000d__x000a_DDEApps=nsf,nsg,nsh,ntf,ns2,ors,org_x000d__x000a_SmartIcons=Todos_x000d__x000a_ 2" xfId="64" xr:uid="{00000000-0005-0000-0000-000040000000}"/>
    <cellStyle name="l]_x000d__x000a_Path=M:\RIOCEN01_x000d__x000a_Name=Carlos Emilio Brousse_x000d__x000a_DDEApps=nsf,nsg,nsh,ntf,ns2,ors,org_x000d__x000a_SmartIcons=Todos_x000d__x000a_ 3" xfId="65" xr:uid="{00000000-0005-0000-0000-000041000000}"/>
    <cellStyle name="l]_x000d__x000a_Path=M:\RIOCEN01_x000d__x000a_Name=Carlos Emilio Brousse_x000d__x000a_DDEApps=nsf,nsg,nsh,ntf,ns2,ors,org_x000d__x000a_SmartIcons=Todos_x000d__x000a_ 4" xfId="66" xr:uid="{00000000-0005-0000-0000-000042000000}"/>
    <cellStyle name="l]_x000d__x000a_Path=M:\RIOCEN01_x000d__x000a_Name=Carlos Emilio Brousse_x000d__x000a_DDEApps=nsf,nsg,nsh,ntf,ns2,ors,org_x000d__x000a_SmartIcons=Todos_x000d__x000a__Hoja6" xfId="67" xr:uid="{00000000-0005-0000-0000-000043000000}"/>
    <cellStyle name="Millares [0] 2" xfId="68" xr:uid="{00000000-0005-0000-0000-000044000000}"/>
    <cellStyle name="Millares 2" xfId="69" xr:uid="{00000000-0005-0000-0000-000045000000}"/>
    <cellStyle name="Millares 2 2" xfId="70" xr:uid="{00000000-0005-0000-0000-000046000000}"/>
    <cellStyle name="Millares 2 2 2" xfId="71" xr:uid="{00000000-0005-0000-0000-000047000000}"/>
    <cellStyle name="Millares 2 2 2 2" xfId="72" xr:uid="{00000000-0005-0000-0000-000048000000}"/>
    <cellStyle name="Millares 2 2 2 2 2" xfId="73" xr:uid="{00000000-0005-0000-0000-000049000000}"/>
    <cellStyle name="Millares 2 2 2 2 2 2" xfId="74" xr:uid="{00000000-0005-0000-0000-00004A000000}"/>
    <cellStyle name="Millares 2 2 2 2 3" xfId="75" xr:uid="{00000000-0005-0000-0000-00004B000000}"/>
    <cellStyle name="Millares 2 2 2 3" xfId="76" xr:uid="{00000000-0005-0000-0000-00004C000000}"/>
    <cellStyle name="Millares 2 2 2 3 2" xfId="77" xr:uid="{00000000-0005-0000-0000-00004D000000}"/>
    <cellStyle name="Millares 2 2 3" xfId="78" xr:uid="{00000000-0005-0000-0000-00004E000000}"/>
    <cellStyle name="Millares 2 2 3 2" xfId="79" xr:uid="{00000000-0005-0000-0000-00004F000000}"/>
    <cellStyle name="Millares 2 3" xfId="80" xr:uid="{00000000-0005-0000-0000-000050000000}"/>
    <cellStyle name="Millares 2 4" xfId="81" xr:uid="{00000000-0005-0000-0000-000051000000}"/>
    <cellStyle name="Millares 2 5" xfId="82" xr:uid="{00000000-0005-0000-0000-000052000000}"/>
    <cellStyle name="Millares 2 5 2" xfId="83" xr:uid="{00000000-0005-0000-0000-000053000000}"/>
    <cellStyle name="Millares 2 6" xfId="84" xr:uid="{00000000-0005-0000-0000-000054000000}"/>
    <cellStyle name="Millares 2 7" xfId="85" xr:uid="{00000000-0005-0000-0000-000055000000}"/>
    <cellStyle name="Millares 2 8" xfId="86" xr:uid="{00000000-0005-0000-0000-000056000000}"/>
    <cellStyle name="Millares 3" xfId="87" xr:uid="{00000000-0005-0000-0000-000057000000}"/>
    <cellStyle name="Normal" xfId="0" builtinId="0"/>
    <cellStyle name="Normal 10" xfId="88" xr:uid="{00000000-0005-0000-0000-000058000000}"/>
    <cellStyle name="Normal 12" xfId="89" xr:uid="{00000000-0005-0000-0000-000059000000}"/>
    <cellStyle name="Normal 2" xfId="90" xr:uid="{00000000-0005-0000-0000-00005A000000}"/>
    <cellStyle name="Normal 2 10" xfId="91" xr:uid="{00000000-0005-0000-0000-00005B000000}"/>
    <cellStyle name="Normal 2 11" xfId="92" xr:uid="{00000000-0005-0000-0000-00005C000000}"/>
    <cellStyle name="Normal 2 12" xfId="93" xr:uid="{00000000-0005-0000-0000-00005D000000}"/>
    <cellStyle name="Normal 2 13" xfId="94" xr:uid="{00000000-0005-0000-0000-00005E000000}"/>
    <cellStyle name="Normal 2 2" xfId="95" xr:uid="{00000000-0005-0000-0000-00005F000000}"/>
    <cellStyle name="Normal 2 2 2" xfId="96" xr:uid="{00000000-0005-0000-0000-000060000000}"/>
    <cellStyle name="Normal 2 2 2 2" xfId="97" xr:uid="{00000000-0005-0000-0000-000061000000}"/>
    <cellStyle name="Normal 2 2 2 2 2" xfId="98" xr:uid="{00000000-0005-0000-0000-000062000000}"/>
    <cellStyle name="Normal 2 2 2 2 2 2" xfId="99" xr:uid="{00000000-0005-0000-0000-000063000000}"/>
    <cellStyle name="Normal 2 2 2 2 2 2 2" xfId="100" xr:uid="{00000000-0005-0000-0000-000064000000}"/>
    <cellStyle name="Normal 2 2 2 2 2 3" xfId="101" xr:uid="{00000000-0005-0000-0000-000065000000}"/>
    <cellStyle name="Normal 2 2 2 2 3" xfId="102" xr:uid="{00000000-0005-0000-0000-000066000000}"/>
    <cellStyle name="Normal 2 2 2 2 3 2" xfId="103" xr:uid="{00000000-0005-0000-0000-000067000000}"/>
    <cellStyle name="Normal 2 2 2 3" xfId="104" xr:uid="{00000000-0005-0000-0000-000068000000}"/>
    <cellStyle name="Normal 2 2 2 3 2" xfId="105" xr:uid="{00000000-0005-0000-0000-000069000000}"/>
    <cellStyle name="Normal 2 2 3" xfId="106" xr:uid="{00000000-0005-0000-0000-00006A000000}"/>
    <cellStyle name="Normal 2 2 4" xfId="107" xr:uid="{00000000-0005-0000-0000-00006B000000}"/>
    <cellStyle name="Normal 2 2 5" xfId="108" xr:uid="{00000000-0005-0000-0000-00006C000000}"/>
    <cellStyle name="Normal 2 2 6" xfId="109" xr:uid="{00000000-0005-0000-0000-00006D000000}"/>
    <cellStyle name="Normal 2 2 6 2" xfId="110" xr:uid="{00000000-0005-0000-0000-00006E000000}"/>
    <cellStyle name="Normal 2 2 7" xfId="111" xr:uid="{00000000-0005-0000-0000-00006F000000}"/>
    <cellStyle name="Normal 2 2 8" xfId="112" xr:uid="{00000000-0005-0000-0000-000070000000}"/>
    <cellStyle name="Normal 2 2 9" xfId="113" xr:uid="{00000000-0005-0000-0000-000071000000}"/>
    <cellStyle name="Normal 2 27" xfId="114" xr:uid="{00000000-0005-0000-0000-000072000000}"/>
    <cellStyle name="Normal 2 28" xfId="115" xr:uid="{00000000-0005-0000-0000-000073000000}"/>
    <cellStyle name="Normal 2 29" xfId="116" xr:uid="{00000000-0005-0000-0000-000074000000}"/>
    <cellStyle name="Normal 2 3" xfId="117" xr:uid="{00000000-0005-0000-0000-000075000000}"/>
    <cellStyle name="Normal 2 30" xfId="118" xr:uid="{00000000-0005-0000-0000-000076000000}"/>
    <cellStyle name="Normal 2 31" xfId="119" xr:uid="{00000000-0005-0000-0000-000077000000}"/>
    <cellStyle name="Normal 2 32" xfId="120" xr:uid="{00000000-0005-0000-0000-000078000000}"/>
    <cellStyle name="Normal 2 33" xfId="121" xr:uid="{00000000-0005-0000-0000-000079000000}"/>
    <cellStyle name="Normal 2 4" xfId="122" xr:uid="{00000000-0005-0000-0000-00007A000000}"/>
    <cellStyle name="Normal 2 5" xfId="123" xr:uid="{00000000-0005-0000-0000-00007B000000}"/>
    <cellStyle name="Normal 2 6" xfId="124" xr:uid="{00000000-0005-0000-0000-00007C000000}"/>
    <cellStyle name="Normal 2 7" xfId="125" xr:uid="{00000000-0005-0000-0000-00007D000000}"/>
    <cellStyle name="Normal 2 8" xfId="126" xr:uid="{00000000-0005-0000-0000-00007E000000}"/>
    <cellStyle name="Normal 2 9" xfId="127" xr:uid="{00000000-0005-0000-0000-00007F000000}"/>
    <cellStyle name="Normal 3" xfId="128" xr:uid="{00000000-0005-0000-0000-000080000000}"/>
    <cellStyle name="Normal 3 10" xfId="129" xr:uid="{00000000-0005-0000-0000-000081000000}"/>
    <cellStyle name="Normal 3 11" xfId="130" xr:uid="{00000000-0005-0000-0000-000082000000}"/>
    <cellStyle name="Normal 3 12" xfId="131" xr:uid="{00000000-0005-0000-0000-000083000000}"/>
    <cellStyle name="Normal 3 2" xfId="132" xr:uid="{00000000-0005-0000-0000-000084000000}"/>
    <cellStyle name="Normal 3 2 2" xfId="133" xr:uid="{00000000-0005-0000-0000-000085000000}"/>
    <cellStyle name="Normal 3 2 2 2" xfId="134" xr:uid="{00000000-0005-0000-0000-000086000000}"/>
    <cellStyle name="Normal 3 2 2 2 2" xfId="135" xr:uid="{00000000-0005-0000-0000-000087000000}"/>
    <cellStyle name="Normal 3 2 2 2 2 2" xfId="136" xr:uid="{00000000-0005-0000-0000-000088000000}"/>
    <cellStyle name="Normal 3 2 2 2 3" xfId="137" xr:uid="{00000000-0005-0000-0000-000089000000}"/>
    <cellStyle name="Normal 3 2 2 3" xfId="138" xr:uid="{00000000-0005-0000-0000-00008A000000}"/>
    <cellStyle name="Normal 3 2 2 3 2" xfId="139" xr:uid="{00000000-0005-0000-0000-00008B000000}"/>
    <cellStyle name="Normal 3 2 3" xfId="140" xr:uid="{00000000-0005-0000-0000-00008C000000}"/>
    <cellStyle name="Normal 3 2 3 2" xfId="141" xr:uid="{00000000-0005-0000-0000-00008D000000}"/>
    <cellStyle name="Normal 3 3" xfId="142" xr:uid="{00000000-0005-0000-0000-00008E000000}"/>
    <cellStyle name="Normal 3 4" xfId="143" xr:uid="{00000000-0005-0000-0000-00008F000000}"/>
    <cellStyle name="Normal 3 5" xfId="144" xr:uid="{00000000-0005-0000-0000-000090000000}"/>
    <cellStyle name="Normal 3 6" xfId="145" xr:uid="{00000000-0005-0000-0000-000091000000}"/>
    <cellStyle name="Normal 3 7" xfId="146" xr:uid="{00000000-0005-0000-0000-000092000000}"/>
    <cellStyle name="Normal 3 7 2" xfId="147" xr:uid="{00000000-0005-0000-0000-000093000000}"/>
    <cellStyle name="Normal 3 8" xfId="148" xr:uid="{00000000-0005-0000-0000-000094000000}"/>
    <cellStyle name="Normal 3 9" xfId="149" xr:uid="{00000000-0005-0000-0000-000095000000}"/>
    <cellStyle name="Normal 4" xfId="150" xr:uid="{00000000-0005-0000-0000-000096000000}"/>
    <cellStyle name="Normal 4 2" xfId="151" xr:uid="{00000000-0005-0000-0000-000097000000}"/>
    <cellStyle name="Normal 4 2 2" xfId="152" xr:uid="{00000000-0005-0000-0000-000098000000}"/>
    <cellStyle name="Normal 4 2 3" xfId="153" xr:uid="{00000000-0005-0000-0000-000099000000}"/>
    <cellStyle name="Normal 4 2 4" xfId="154" xr:uid="{00000000-0005-0000-0000-00009A000000}"/>
    <cellStyle name="Normal 4 3" xfId="155" xr:uid="{00000000-0005-0000-0000-00009B000000}"/>
    <cellStyle name="Normal 4 3 2" xfId="156" xr:uid="{00000000-0005-0000-0000-00009C000000}"/>
    <cellStyle name="Normal 4 3 2 2" xfId="157" xr:uid="{00000000-0005-0000-0000-00009D000000}"/>
    <cellStyle name="Normal 4 3 2 2 2" xfId="158" xr:uid="{00000000-0005-0000-0000-00009E000000}"/>
    <cellStyle name="Normal 4 3 2 2 2 2" xfId="159" xr:uid="{00000000-0005-0000-0000-00009F000000}"/>
    <cellStyle name="Normal 4 3 2 2 3" xfId="160" xr:uid="{00000000-0005-0000-0000-0000A0000000}"/>
    <cellStyle name="Normal 4 3 2 3" xfId="161" xr:uid="{00000000-0005-0000-0000-0000A1000000}"/>
    <cellStyle name="Normal 4 3 2 3 2" xfId="162" xr:uid="{00000000-0005-0000-0000-0000A2000000}"/>
    <cellStyle name="Normal 4 3 3" xfId="163" xr:uid="{00000000-0005-0000-0000-0000A3000000}"/>
    <cellStyle name="Normal 4 3 3 2" xfId="164" xr:uid="{00000000-0005-0000-0000-0000A4000000}"/>
    <cellStyle name="Normal 4 4" xfId="165" xr:uid="{00000000-0005-0000-0000-0000A5000000}"/>
    <cellStyle name="Normal 4 5" xfId="166" xr:uid="{00000000-0005-0000-0000-0000A6000000}"/>
    <cellStyle name="Normal 4 5 2" xfId="167" xr:uid="{00000000-0005-0000-0000-0000A7000000}"/>
    <cellStyle name="Normal 4 6" xfId="168" xr:uid="{00000000-0005-0000-0000-0000A8000000}"/>
    <cellStyle name="Normal 4 7" xfId="169" xr:uid="{00000000-0005-0000-0000-0000A9000000}"/>
    <cellStyle name="Normal 4 8" xfId="170" xr:uid="{00000000-0005-0000-0000-0000AA000000}"/>
    <cellStyle name="Normal 5 10" xfId="171" xr:uid="{00000000-0005-0000-0000-0000AB000000}"/>
    <cellStyle name="Normal 5 11" xfId="172" xr:uid="{00000000-0005-0000-0000-0000AC000000}"/>
    <cellStyle name="Normal 5 12" xfId="173" xr:uid="{00000000-0005-0000-0000-0000AD000000}"/>
    <cellStyle name="Normal 5 13" xfId="174" xr:uid="{00000000-0005-0000-0000-0000AE000000}"/>
    <cellStyle name="Normal 5 14" xfId="175" xr:uid="{00000000-0005-0000-0000-0000AF000000}"/>
    <cellStyle name="Normal 5 2" xfId="176" xr:uid="{00000000-0005-0000-0000-0000B0000000}"/>
    <cellStyle name="Normal 5 3" xfId="177" xr:uid="{00000000-0005-0000-0000-0000B1000000}"/>
    <cellStyle name="Normal 5 4" xfId="178" xr:uid="{00000000-0005-0000-0000-0000B2000000}"/>
    <cellStyle name="Normal 5 5" xfId="179" xr:uid="{00000000-0005-0000-0000-0000B3000000}"/>
    <cellStyle name="Normal 5 6" xfId="180" xr:uid="{00000000-0005-0000-0000-0000B4000000}"/>
    <cellStyle name="Normal 5 7" xfId="181" xr:uid="{00000000-0005-0000-0000-0000B5000000}"/>
    <cellStyle name="Normal 5 8" xfId="182" xr:uid="{00000000-0005-0000-0000-0000B6000000}"/>
    <cellStyle name="Normal 5 9" xfId="183" xr:uid="{00000000-0005-0000-0000-0000B7000000}"/>
    <cellStyle name="Normal 56" xfId="184" xr:uid="{00000000-0005-0000-0000-0000B8000000}"/>
    <cellStyle name="Normal 6" xfId="185" xr:uid="{00000000-0005-0000-0000-0000B9000000}"/>
    <cellStyle name="Normal 7" xfId="186" xr:uid="{00000000-0005-0000-0000-0000BA000000}"/>
    <cellStyle name="PORC" xfId="187" xr:uid="{00000000-0005-0000-0000-0000BB000000}"/>
    <cellStyle name="PORC 2" xfId="188" xr:uid="{00000000-0005-0000-0000-0000BC000000}"/>
    <cellStyle name="PORC 2 2" xfId="189" xr:uid="{00000000-0005-0000-0000-0000BD000000}"/>
    <cellStyle name="PORC 2 2 2" xfId="190" xr:uid="{00000000-0005-0000-0000-0000BE000000}"/>
    <cellStyle name="PORC 2 2 2 2" xfId="191" xr:uid="{00000000-0005-0000-0000-0000BF000000}"/>
    <cellStyle name="PORC 2 2 3" xfId="192" xr:uid="{00000000-0005-0000-0000-0000C0000000}"/>
    <cellStyle name="PORC 2 3" xfId="193" xr:uid="{00000000-0005-0000-0000-0000C1000000}"/>
    <cellStyle name="PORC 2 3 2" xfId="194" xr:uid="{00000000-0005-0000-0000-0000C2000000}"/>
    <cellStyle name="PORC 3" xfId="195" xr:uid="{00000000-0005-0000-0000-0000C3000000}"/>
    <cellStyle name="PORC 3 2" xfId="196" xr:uid="{00000000-0005-0000-0000-0000C4000000}"/>
    <cellStyle name="PORC 4" xfId="197" xr:uid="{00000000-0005-0000-0000-0000C5000000}"/>
    <cellStyle name="PORC 5" xfId="198" xr:uid="{00000000-0005-0000-0000-0000C6000000}"/>
    <cellStyle name="Porcentual 2" xfId="199" xr:uid="{00000000-0005-0000-0000-0000C7000000}"/>
    <cellStyle name="Porcentual 2 2" xfId="200" xr:uid="{00000000-0005-0000-0000-0000C8000000}"/>
    <cellStyle name="Porcentual 2 2 2" xfId="201" xr:uid="{00000000-0005-0000-0000-0000C9000000}"/>
    <cellStyle name="Porcentual 2 2 2 2" xfId="202" xr:uid="{00000000-0005-0000-0000-0000CA000000}"/>
    <cellStyle name="Porcentual 2 2 2 2 2" xfId="203" xr:uid="{00000000-0005-0000-0000-0000CB000000}"/>
    <cellStyle name="Porcentual 2 2 2 2 2 2" xfId="204" xr:uid="{00000000-0005-0000-0000-0000CC000000}"/>
    <cellStyle name="Porcentual 2 2 2 2 3" xfId="205" xr:uid="{00000000-0005-0000-0000-0000CD000000}"/>
    <cellStyle name="Porcentual 2 2 2 3" xfId="206" xr:uid="{00000000-0005-0000-0000-0000CE000000}"/>
    <cellStyle name="Porcentual 2 2 2 3 2" xfId="207" xr:uid="{00000000-0005-0000-0000-0000CF000000}"/>
    <cellStyle name="Porcentual 2 2 3" xfId="208" xr:uid="{00000000-0005-0000-0000-0000D0000000}"/>
    <cellStyle name="Porcentual 2 2 3 2" xfId="209" xr:uid="{00000000-0005-0000-0000-0000D1000000}"/>
    <cellStyle name="Porcentual 2 2 4" xfId="210" xr:uid="{00000000-0005-0000-0000-0000D2000000}"/>
    <cellStyle name="Porcentual 2 2 5" xfId="211" xr:uid="{00000000-0005-0000-0000-0000D3000000}"/>
    <cellStyle name="Porcentual 2 3" xfId="212" xr:uid="{00000000-0005-0000-0000-0000D4000000}"/>
    <cellStyle name="Porcentual 2 3 2" xfId="213" xr:uid="{00000000-0005-0000-0000-0000D5000000}"/>
    <cellStyle name="Porcentual 2 3 2 2" xfId="214" xr:uid="{00000000-0005-0000-0000-0000D6000000}"/>
    <cellStyle name="Porcentual 2 3 2 2 2" xfId="215" xr:uid="{00000000-0005-0000-0000-0000D7000000}"/>
    <cellStyle name="Porcentual 2 3 2 2 2 2" xfId="216" xr:uid="{00000000-0005-0000-0000-0000D8000000}"/>
    <cellStyle name="Porcentual 2 3 2 2 3" xfId="217" xr:uid="{00000000-0005-0000-0000-0000D9000000}"/>
    <cellStyle name="Porcentual 2 3 2 3" xfId="218" xr:uid="{00000000-0005-0000-0000-0000DA000000}"/>
    <cellStyle name="Porcentual 2 3 2 3 2" xfId="219" xr:uid="{00000000-0005-0000-0000-0000DB000000}"/>
    <cellStyle name="Porcentual 2 3 3" xfId="220" xr:uid="{00000000-0005-0000-0000-0000DC000000}"/>
    <cellStyle name="Porcentual 2 3 3 2" xfId="221" xr:uid="{00000000-0005-0000-0000-0000DD000000}"/>
    <cellStyle name="Porcentual 2 4" xfId="222" xr:uid="{00000000-0005-0000-0000-0000DE000000}"/>
    <cellStyle name="Porcentual 2 5" xfId="223" xr:uid="{00000000-0005-0000-0000-0000DF000000}"/>
    <cellStyle name="Porcentual 2 5 2" xfId="224" xr:uid="{00000000-0005-0000-0000-0000E0000000}"/>
    <cellStyle name="Porcentual 2 6" xfId="225" xr:uid="{00000000-0005-0000-0000-0000E1000000}"/>
    <cellStyle name="Porcentual 2 7" xfId="226" xr:uid="{00000000-0005-0000-0000-0000E2000000}"/>
    <cellStyle name="Porcentual 2 8" xfId="227" xr:uid="{00000000-0005-0000-0000-0000E3000000}"/>
    <cellStyle name="Porcentual 3" xfId="228" xr:uid="{00000000-0005-0000-0000-0000E4000000}"/>
    <cellStyle name="Porcentual 3 2" xfId="229" xr:uid="{00000000-0005-0000-0000-0000E5000000}"/>
    <cellStyle name="Porcentual 3 3" xfId="230" xr:uid="{00000000-0005-0000-0000-0000E6000000}"/>
    <cellStyle name="Porcentual 3 4" xfId="231" xr:uid="{00000000-0005-0000-0000-0000E7000000}"/>
    <cellStyle name="Porcentual 3 5" xfId="232" xr:uid="{00000000-0005-0000-0000-0000E8000000}"/>
    <cellStyle name="Porcentual 3 5 2" xfId="233" xr:uid="{00000000-0005-0000-0000-0000E9000000}"/>
    <cellStyle name="Porcentual 3 6" xfId="234" xr:uid="{00000000-0005-0000-0000-0000EA000000}"/>
    <cellStyle name="Porcentual 3 7" xfId="235" xr:uid="{00000000-0005-0000-0000-0000EB000000}"/>
    <cellStyle name="Porcentual 4" xfId="236" xr:uid="{00000000-0005-0000-0000-0000EC000000}"/>
    <cellStyle name="Porcentual 4 2" xfId="237" xr:uid="{00000000-0005-0000-0000-0000ED000000}"/>
    <cellStyle name="Porcentual 4 3" xfId="238" xr:uid="{00000000-0005-0000-0000-0000EE000000}"/>
    <cellStyle name="Porcentual 4 4" xfId="239" xr:uid="{00000000-0005-0000-0000-0000EF000000}"/>
    <cellStyle name="Porcentual 5" xfId="240" xr:uid="{00000000-0005-0000-0000-0000F0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6"/>
  <dimension ref="B2:J56"/>
  <sheetViews>
    <sheetView tabSelected="1" topLeftCell="A38" zoomScale="60" zoomScaleNormal="75" workbookViewId="0">
      <selection activeCell="C56" sqref="C56"/>
    </sheetView>
  </sheetViews>
  <sheetFormatPr defaultColWidth="11.42578125" defaultRowHeight="14.45"/>
  <cols>
    <col min="1" max="1" width="3" style="1" customWidth="1"/>
    <col min="2" max="2" width="11.42578125" style="1" bestFit="1" customWidth="1"/>
    <col min="3" max="3" width="17.42578125" style="1" customWidth="1"/>
    <col min="4" max="4" width="14.28515625" style="1" customWidth="1"/>
    <col min="5" max="5" width="16.5703125" style="1" customWidth="1"/>
    <col min="6" max="6" width="52.7109375" style="1" bestFit="1" customWidth="1"/>
    <col min="7" max="7" width="55.7109375" style="1" customWidth="1"/>
    <col min="8" max="8" width="26" style="1" bestFit="1" customWidth="1"/>
    <col min="9" max="9" width="19.42578125" style="1" bestFit="1" customWidth="1"/>
    <col min="10" max="10" width="25.140625" style="1" bestFit="1" customWidth="1"/>
    <col min="11" max="16384" width="11.42578125" style="1"/>
  </cols>
  <sheetData>
    <row r="2" spans="2:10" ht="15" customHeight="1">
      <c r="B2" s="9" t="s">
        <v>0</v>
      </c>
      <c r="C2" s="9"/>
      <c r="D2" s="9"/>
      <c r="E2" s="9"/>
      <c r="F2" s="9"/>
      <c r="G2" s="9"/>
      <c r="H2" s="9"/>
      <c r="I2" s="9"/>
      <c r="J2" s="9"/>
    </row>
    <row r="3" spans="2:10" ht="15" customHeight="1">
      <c r="B3" s="9"/>
      <c r="C3" s="9"/>
      <c r="D3" s="9"/>
      <c r="E3" s="9"/>
      <c r="F3" s="9"/>
      <c r="G3" s="9"/>
      <c r="H3" s="9"/>
      <c r="I3" s="9"/>
      <c r="J3" s="9"/>
    </row>
    <row r="4" spans="2:10" ht="15" customHeight="1" thickBot="1">
      <c r="B4" s="2"/>
      <c r="C4" s="2"/>
      <c r="D4" s="2"/>
      <c r="E4" s="2"/>
      <c r="F4" s="2"/>
      <c r="G4" s="2"/>
      <c r="H4" s="2"/>
      <c r="I4" s="2"/>
      <c r="J4" s="2"/>
    </row>
    <row r="5" spans="2:10" ht="30" customHeight="1">
      <c r="B5" s="2"/>
      <c r="C5" s="10" t="s">
        <v>1</v>
      </c>
      <c r="D5" s="11"/>
      <c r="E5" s="11"/>
      <c r="F5" s="14" t="s">
        <v>2</v>
      </c>
      <c r="G5" s="15"/>
      <c r="H5" s="15"/>
      <c r="I5" s="15"/>
      <c r="J5" s="16"/>
    </row>
    <row r="6" spans="2:10" ht="30" customHeight="1">
      <c r="B6" s="3" t="s">
        <v>3</v>
      </c>
      <c r="C6" s="12"/>
      <c r="D6" s="12"/>
      <c r="E6" s="13"/>
      <c r="F6" s="17"/>
      <c r="G6" s="18"/>
      <c r="H6" s="18"/>
      <c r="I6" s="18"/>
      <c r="J6" s="19"/>
    </row>
    <row r="7" spans="2:10" ht="30" customHeight="1" thickBot="1">
      <c r="B7" s="3" t="s">
        <v>4</v>
      </c>
      <c r="C7" s="12"/>
      <c r="D7" s="12"/>
      <c r="E7" s="13"/>
      <c r="F7" s="20"/>
      <c r="G7" s="21"/>
      <c r="H7" s="21"/>
      <c r="I7" s="21"/>
      <c r="J7" s="22"/>
    </row>
    <row r="8" spans="2:10" ht="15" customHeight="1"/>
    <row r="9" spans="2:10" ht="39.950000000000003" customHeight="1">
      <c r="B9" s="3" t="s">
        <v>5</v>
      </c>
      <c r="C9" s="3" t="s">
        <v>6</v>
      </c>
      <c r="D9" s="3" t="s">
        <v>7</v>
      </c>
      <c r="E9" s="3" t="s">
        <v>8</v>
      </c>
      <c r="F9" s="3" t="s">
        <v>9</v>
      </c>
      <c r="G9" s="3" t="s">
        <v>10</v>
      </c>
      <c r="H9" s="3" t="s">
        <v>11</v>
      </c>
      <c r="I9" s="3" t="s">
        <v>12</v>
      </c>
      <c r="J9" s="3" t="s">
        <v>13</v>
      </c>
    </row>
    <row r="10" spans="2:10" ht="39.950000000000003" customHeight="1">
      <c r="B10" s="4">
        <v>1</v>
      </c>
      <c r="C10" s="5">
        <v>850000</v>
      </c>
      <c r="D10" s="6" t="s">
        <v>14</v>
      </c>
      <c r="E10" s="5">
        <v>61377979</v>
      </c>
      <c r="F10" s="6" t="s">
        <v>15</v>
      </c>
      <c r="G10" s="6" t="s">
        <v>16</v>
      </c>
      <c r="H10" s="7">
        <v>42245</v>
      </c>
      <c r="I10" s="5" t="s">
        <v>17</v>
      </c>
      <c r="J10" s="6" t="s">
        <v>18</v>
      </c>
    </row>
    <row r="11" spans="2:10" ht="39.950000000000003" customHeight="1">
      <c r="B11" s="4">
        <v>2</v>
      </c>
      <c r="C11" s="5">
        <v>340000</v>
      </c>
      <c r="D11" s="6" t="s">
        <v>19</v>
      </c>
      <c r="E11" s="5">
        <v>42196378</v>
      </c>
      <c r="F11" s="6" t="s">
        <v>20</v>
      </c>
      <c r="G11" s="6" t="s">
        <v>21</v>
      </c>
      <c r="H11" s="7">
        <v>43695</v>
      </c>
      <c r="I11" s="5" t="s">
        <v>17</v>
      </c>
      <c r="J11" s="6" t="s">
        <v>18</v>
      </c>
    </row>
    <row r="12" spans="2:10" ht="39.950000000000003" customHeight="1">
      <c r="B12" s="4">
        <v>3</v>
      </c>
      <c r="C12" s="5">
        <v>290000</v>
      </c>
      <c r="D12" s="6" t="s">
        <v>22</v>
      </c>
      <c r="E12" s="5">
        <v>30991637</v>
      </c>
      <c r="F12" s="6" t="s">
        <v>23</v>
      </c>
      <c r="G12" s="6" t="s">
        <v>24</v>
      </c>
      <c r="H12" s="7">
        <v>44378</v>
      </c>
      <c r="I12" s="5" t="s">
        <v>17</v>
      </c>
      <c r="J12" s="6" t="s">
        <v>18</v>
      </c>
    </row>
    <row r="13" spans="2:10" ht="39.950000000000003" customHeight="1">
      <c r="B13" s="4">
        <v>4</v>
      </c>
      <c r="C13" s="5">
        <v>290000</v>
      </c>
      <c r="D13" s="6" t="s">
        <v>25</v>
      </c>
      <c r="E13" s="5">
        <v>30702803</v>
      </c>
      <c r="F13" s="6" t="s">
        <v>26</v>
      </c>
      <c r="G13" s="6" t="s">
        <v>27</v>
      </c>
      <c r="H13" s="7">
        <v>43894</v>
      </c>
      <c r="I13" s="5" t="s">
        <v>17</v>
      </c>
      <c r="J13" s="6" t="s">
        <v>18</v>
      </c>
    </row>
    <row r="14" spans="2:10" ht="39.950000000000003" customHeight="1">
      <c r="B14" s="4">
        <v>5</v>
      </c>
      <c r="C14" s="5">
        <v>275000</v>
      </c>
      <c r="D14" s="6" t="s">
        <v>28</v>
      </c>
      <c r="E14" s="5">
        <v>30911637</v>
      </c>
      <c r="F14" s="6" t="s">
        <v>29</v>
      </c>
      <c r="G14" s="6" t="s">
        <v>30</v>
      </c>
      <c r="H14" s="7">
        <v>42863</v>
      </c>
      <c r="I14" s="5" t="s">
        <v>17</v>
      </c>
      <c r="J14" s="6" t="s">
        <v>18</v>
      </c>
    </row>
    <row r="15" spans="2:10" ht="39.950000000000003" customHeight="1">
      <c r="B15" s="4">
        <v>6</v>
      </c>
      <c r="C15" s="5">
        <v>275000</v>
      </c>
      <c r="D15" s="6" t="s">
        <v>31</v>
      </c>
      <c r="E15" s="5">
        <v>30702803</v>
      </c>
      <c r="F15" s="6" t="s">
        <v>32</v>
      </c>
      <c r="G15" s="6" t="s">
        <v>33</v>
      </c>
      <c r="H15" s="7">
        <v>43695</v>
      </c>
      <c r="I15" s="5" t="s">
        <v>17</v>
      </c>
      <c r="J15" s="6" t="s">
        <v>18</v>
      </c>
    </row>
    <row r="16" spans="2:10" ht="39.950000000000003" customHeight="1">
      <c r="B16" s="4">
        <v>7</v>
      </c>
      <c r="C16" s="5">
        <v>275000</v>
      </c>
      <c r="D16" s="6" t="s">
        <v>34</v>
      </c>
      <c r="E16" s="5">
        <v>30991637</v>
      </c>
      <c r="F16" s="6" t="s">
        <v>35</v>
      </c>
      <c r="G16" s="6" t="s">
        <v>36</v>
      </c>
      <c r="H16" s="7">
        <v>43557</v>
      </c>
      <c r="I16" s="5" t="s">
        <v>17</v>
      </c>
      <c r="J16" s="6" t="s">
        <v>18</v>
      </c>
    </row>
    <row r="17" spans="2:10" ht="39.950000000000003" customHeight="1">
      <c r="B17" s="4">
        <v>8</v>
      </c>
      <c r="C17" s="5">
        <v>340000</v>
      </c>
      <c r="D17" s="6" t="s">
        <v>37</v>
      </c>
      <c r="E17" s="5">
        <v>39942527</v>
      </c>
      <c r="F17" s="6" t="s">
        <v>38</v>
      </c>
      <c r="G17" s="6" t="s">
        <v>39</v>
      </c>
      <c r="H17" s="7">
        <v>44105</v>
      </c>
      <c r="I17" s="5" t="s">
        <v>17</v>
      </c>
      <c r="J17" s="6" t="s">
        <v>18</v>
      </c>
    </row>
    <row r="18" spans="2:10" ht="39.950000000000003" customHeight="1">
      <c r="B18" s="4">
        <v>9</v>
      </c>
      <c r="C18" s="5">
        <v>350000</v>
      </c>
      <c r="D18" s="6" t="s">
        <v>40</v>
      </c>
      <c r="E18" s="5">
        <v>39942527</v>
      </c>
      <c r="F18" s="6" t="s">
        <v>41</v>
      </c>
      <c r="G18" s="6" t="s">
        <v>42</v>
      </c>
      <c r="H18" s="7">
        <v>42420</v>
      </c>
      <c r="I18" s="5" t="s">
        <v>17</v>
      </c>
      <c r="J18" s="6" t="s">
        <v>18</v>
      </c>
    </row>
    <row r="19" spans="2:10" ht="39.950000000000003" customHeight="1">
      <c r="B19" s="4">
        <v>10</v>
      </c>
      <c r="C19" s="5">
        <v>550000</v>
      </c>
      <c r="D19" s="6" t="s">
        <v>43</v>
      </c>
      <c r="E19" s="5">
        <v>16589197</v>
      </c>
      <c r="F19" s="6" t="s">
        <v>44</v>
      </c>
      <c r="G19" s="6" t="s">
        <v>45</v>
      </c>
      <c r="H19" s="7">
        <v>44013</v>
      </c>
      <c r="I19" s="5" t="s">
        <v>17</v>
      </c>
      <c r="J19" s="6" t="s">
        <v>46</v>
      </c>
    </row>
    <row r="20" spans="2:10" ht="39.950000000000003" customHeight="1">
      <c r="B20" s="4">
        <v>11</v>
      </c>
      <c r="C20" s="5">
        <v>310000</v>
      </c>
      <c r="D20" s="6" t="s">
        <v>47</v>
      </c>
      <c r="E20" s="5">
        <v>2263502</v>
      </c>
      <c r="F20" s="6" t="s">
        <v>48</v>
      </c>
      <c r="G20" s="6" t="s">
        <v>49</v>
      </c>
      <c r="H20" s="7" t="s">
        <v>50</v>
      </c>
      <c r="I20" s="5" t="s">
        <v>17</v>
      </c>
      <c r="J20" s="6" t="s">
        <v>18</v>
      </c>
    </row>
    <row r="21" spans="2:10" ht="39.950000000000003" customHeight="1">
      <c r="B21" s="4">
        <v>12</v>
      </c>
      <c r="C21" s="5">
        <v>230000</v>
      </c>
      <c r="D21" s="6" t="s">
        <v>51</v>
      </c>
      <c r="E21" s="5">
        <v>23869035</v>
      </c>
      <c r="F21" s="6" t="s">
        <v>52</v>
      </c>
      <c r="G21" s="6" t="s">
        <v>53</v>
      </c>
      <c r="H21" s="7">
        <v>43886</v>
      </c>
      <c r="I21" s="5" t="s">
        <v>17</v>
      </c>
      <c r="J21" s="6" t="s">
        <v>18</v>
      </c>
    </row>
    <row r="22" spans="2:10" ht="39.950000000000003" customHeight="1">
      <c r="B22" s="4">
        <v>13</v>
      </c>
      <c r="C22" s="5">
        <v>230000</v>
      </c>
      <c r="D22" s="6" t="s">
        <v>54</v>
      </c>
      <c r="E22" s="5"/>
      <c r="F22" s="6" t="s">
        <v>55</v>
      </c>
      <c r="G22" s="6" t="s">
        <v>56</v>
      </c>
      <c r="H22" s="7">
        <v>44287</v>
      </c>
      <c r="I22" s="5" t="s">
        <v>17</v>
      </c>
      <c r="J22" s="6" t="s">
        <v>18</v>
      </c>
    </row>
    <row r="23" spans="2:10" ht="39.950000000000003" customHeight="1">
      <c r="B23" s="4">
        <v>14</v>
      </c>
      <c r="C23" s="5">
        <v>230000</v>
      </c>
      <c r="D23" s="6" t="s">
        <v>54</v>
      </c>
      <c r="E23" s="5"/>
      <c r="F23" s="6" t="s">
        <v>57</v>
      </c>
      <c r="G23" s="6" t="s">
        <v>58</v>
      </c>
      <c r="H23" s="7">
        <v>44345</v>
      </c>
      <c r="I23" s="5" t="s">
        <v>17</v>
      </c>
      <c r="J23" s="6" t="s">
        <v>18</v>
      </c>
    </row>
    <row r="24" spans="2:10" ht="39.950000000000003" customHeight="1">
      <c r="B24" s="4">
        <v>15</v>
      </c>
      <c r="C24" s="5">
        <v>230000</v>
      </c>
      <c r="D24" s="6" t="s">
        <v>54</v>
      </c>
      <c r="E24" s="5"/>
      <c r="F24" s="6" t="s">
        <v>59</v>
      </c>
      <c r="G24" s="6" t="s">
        <v>60</v>
      </c>
      <c r="H24" s="7">
        <v>44256</v>
      </c>
      <c r="I24" s="5" t="s">
        <v>17</v>
      </c>
      <c r="J24" s="6" t="s">
        <v>18</v>
      </c>
    </row>
    <row r="25" spans="2:10" ht="39.950000000000003" customHeight="1">
      <c r="B25" s="4">
        <v>16</v>
      </c>
      <c r="C25" s="5">
        <v>295000</v>
      </c>
      <c r="D25" s="6" t="s">
        <v>54</v>
      </c>
      <c r="E25" s="5"/>
      <c r="F25" s="6" t="s">
        <v>61</v>
      </c>
      <c r="G25" s="6" t="s">
        <v>62</v>
      </c>
      <c r="H25" s="7">
        <v>44281</v>
      </c>
      <c r="I25" s="5" t="s">
        <v>17</v>
      </c>
      <c r="J25" s="6" t="s">
        <v>18</v>
      </c>
    </row>
    <row r="26" spans="2:10" ht="39.950000000000003" customHeight="1">
      <c r="B26" s="4">
        <v>17</v>
      </c>
      <c r="C26" s="5">
        <v>295000</v>
      </c>
      <c r="D26" s="6" t="s">
        <v>54</v>
      </c>
      <c r="E26" s="5"/>
      <c r="F26" s="6" t="s">
        <v>63</v>
      </c>
      <c r="G26" s="6" t="s">
        <v>64</v>
      </c>
      <c r="H26" s="7">
        <v>44099</v>
      </c>
      <c r="I26" s="5" t="s">
        <v>17</v>
      </c>
      <c r="J26" s="6" t="s">
        <v>18</v>
      </c>
    </row>
    <row r="27" spans="2:10" ht="39.950000000000003" customHeight="1">
      <c r="B27" s="4">
        <v>18</v>
      </c>
      <c r="C27" s="5">
        <v>250000</v>
      </c>
      <c r="D27" s="6" t="s">
        <v>54</v>
      </c>
      <c r="E27" s="5"/>
      <c r="F27" s="6" t="s">
        <v>65</v>
      </c>
      <c r="G27" s="6" t="s">
        <v>66</v>
      </c>
      <c r="H27" s="7">
        <v>43922</v>
      </c>
      <c r="I27" s="5" t="s">
        <v>17</v>
      </c>
      <c r="J27" s="6" t="s">
        <v>18</v>
      </c>
    </row>
    <row r="28" spans="2:10" ht="39.950000000000003" customHeight="1">
      <c r="B28" s="4">
        <v>19</v>
      </c>
      <c r="C28" s="5">
        <v>270000</v>
      </c>
      <c r="D28" s="6" t="s">
        <v>54</v>
      </c>
      <c r="E28" s="5"/>
      <c r="F28" s="6" t="s">
        <v>67</v>
      </c>
      <c r="G28" s="6" t="s">
        <v>68</v>
      </c>
      <c r="H28" s="7">
        <v>44105</v>
      </c>
      <c r="I28" s="5" t="s">
        <v>17</v>
      </c>
      <c r="J28" s="6" t="s">
        <v>18</v>
      </c>
    </row>
    <row r="29" spans="2:10" ht="39.950000000000003" customHeight="1">
      <c r="B29" s="4">
        <v>20</v>
      </c>
      <c r="C29" s="5">
        <v>270000</v>
      </c>
      <c r="D29" s="6" t="s">
        <v>54</v>
      </c>
      <c r="E29" s="5"/>
      <c r="F29" s="6" t="s">
        <v>69</v>
      </c>
      <c r="G29" s="6" t="s">
        <v>70</v>
      </c>
      <c r="H29" s="7">
        <v>44256</v>
      </c>
      <c r="I29" s="5" t="s">
        <v>17</v>
      </c>
      <c r="J29" s="6" t="s">
        <v>18</v>
      </c>
    </row>
    <row r="30" spans="2:10" ht="39.950000000000003" customHeight="1">
      <c r="B30" s="4">
        <v>21</v>
      </c>
      <c r="C30" s="5">
        <v>270000</v>
      </c>
      <c r="D30" s="6" t="s">
        <v>54</v>
      </c>
      <c r="E30" s="5"/>
      <c r="F30" s="6" t="s">
        <v>71</v>
      </c>
      <c r="G30" s="6" t="s">
        <v>72</v>
      </c>
      <c r="H30" s="7">
        <v>44013</v>
      </c>
      <c r="I30" s="5" t="s">
        <v>17</v>
      </c>
      <c r="J30" s="6" t="s">
        <v>18</v>
      </c>
    </row>
    <row r="31" spans="2:10" ht="39.6" customHeight="1">
      <c r="B31" s="4">
        <v>22</v>
      </c>
      <c r="C31" s="5">
        <v>295000</v>
      </c>
      <c r="D31" s="6" t="s">
        <v>54</v>
      </c>
      <c r="E31" s="5"/>
      <c r="F31" s="6" t="s">
        <v>73</v>
      </c>
      <c r="G31" s="6" t="s">
        <v>74</v>
      </c>
      <c r="H31" s="7">
        <v>44044</v>
      </c>
      <c r="I31" s="5" t="s">
        <v>17</v>
      </c>
      <c r="J31" s="6" t="s">
        <v>18</v>
      </c>
    </row>
    <row r="32" spans="2:10" ht="39.6" customHeight="1">
      <c r="B32" s="4">
        <v>23</v>
      </c>
      <c r="C32" s="5">
        <v>295000</v>
      </c>
      <c r="D32" s="6" t="s">
        <v>54</v>
      </c>
      <c r="E32" s="5"/>
      <c r="F32" s="6" t="s">
        <v>75</v>
      </c>
      <c r="G32" s="6" t="s">
        <v>76</v>
      </c>
      <c r="H32" s="7">
        <v>44281</v>
      </c>
      <c r="I32" s="5" t="s">
        <v>17</v>
      </c>
      <c r="J32" s="6" t="s">
        <v>18</v>
      </c>
    </row>
    <row r="33" spans="2:10" ht="40.15" customHeight="1">
      <c r="B33" s="4">
        <v>24</v>
      </c>
      <c r="C33" s="5">
        <v>295000</v>
      </c>
      <c r="D33" s="6" t="s">
        <v>54</v>
      </c>
      <c r="E33" s="5"/>
      <c r="F33" s="6" t="s">
        <v>77</v>
      </c>
      <c r="G33" s="6" t="s">
        <v>78</v>
      </c>
      <c r="H33" s="7">
        <v>43743</v>
      </c>
      <c r="I33" s="5" t="s">
        <v>17</v>
      </c>
      <c r="J33" s="6" t="s">
        <v>18</v>
      </c>
    </row>
    <row r="34" spans="2:10" ht="40.15" customHeight="1">
      <c r="B34" s="4">
        <v>12</v>
      </c>
      <c r="C34" s="5">
        <v>444000</v>
      </c>
      <c r="D34" s="6" t="s">
        <v>79</v>
      </c>
      <c r="E34" s="5">
        <v>48683690</v>
      </c>
      <c r="F34" s="6" t="s">
        <v>80</v>
      </c>
      <c r="G34" s="6" t="s">
        <v>81</v>
      </c>
      <c r="H34" s="7">
        <v>45323</v>
      </c>
      <c r="I34" s="5" t="s">
        <v>17</v>
      </c>
      <c r="J34" s="6" t="s">
        <v>18</v>
      </c>
    </row>
    <row r="35" spans="2:10" ht="40.15" customHeight="1">
      <c r="B35" s="4">
        <v>13</v>
      </c>
      <c r="C35" s="5">
        <v>365000</v>
      </c>
      <c r="D35" s="6" t="s">
        <v>79</v>
      </c>
      <c r="E35" s="5"/>
      <c r="F35" s="6" t="s">
        <v>82</v>
      </c>
      <c r="G35" s="6" t="s">
        <v>83</v>
      </c>
      <c r="H35" s="7">
        <v>45870</v>
      </c>
      <c r="I35" s="5" t="s">
        <v>17</v>
      </c>
      <c r="J35" s="6" t="s">
        <v>18</v>
      </c>
    </row>
    <row r="36" spans="2:10" ht="40.15" customHeight="1">
      <c r="B36" s="4">
        <v>14</v>
      </c>
      <c r="C36" s="5">
        <v>415000</v>
      </c>
      <c r="D36" s="6" t="s">
        <v>79</v>
      </c>
      <c r="E36" s="5"/>
      <c r="F36" s="6" t="s">
        <v>84</v>
      </c>
      <c r="G36" s="6" t="s">
        <v>85</v>
      </c>
      <c r="H36" s="7">
        <v>45441</v>
      </c>
      <c r="I36" s="5" t="s">
        <v>17</v>
      </c>
      <c r="J36" s="6" t="s">
        <v>18</v>
      </c>
    </row>
    <row r="37" spans="2:10" ht="40.15" customHeight="1">
      <c r="B37" s="4">
        <v>15</v>
      </c>
      <c r="C37" s="5">
        <v>435000</v>
      </c>
      <c r="D37" s="6" t="s">
        <v>79</v>
      </c>
      <c r="E37" s="5"/>
      <c r="F37" s="6" t="s">
        <v>86</v>
      </c>
      <c r="G37" s="6" t="s">
        <v>87</v>
      </c>
      <c r="H37" s="7">
        <v>45352</v>
      </c>
      <c r="I37" s="5" t="s">
        <v>17</v>
      </c>
      <c r="J37" s="6" t="s">
        <v>18</v>
      </c>
    </row>
    <row r="38" spans="2:10" ht="40.15" customHeight="1">
      <c r="B38" s="4">
        <v>16</v>
      </c>
      <c r="C38" s="5">
        <v>350000</v>
      </c>
      <c r="D38" s="6" t="s">
        <v>79</v>
      </c>
      <c r="E38" s="5"/>
      <c r="F38" s="6" t="s">
        <v>88</v>
      </c>
      <c r="G38" s="6" t="s">
        <v>89</v>
      </c>
      <c r="H38" s="7">
        <v>45444</v>
      </c>
      <c r="I38" s="5" t="s">
        <v>17</v>
      </c>
      <c r="J38" s="6" t="s">
        <v>18</v>
      </c>
    </row>
    <row r="39" spans="2:10" ht="40.15" customHeight="1">
      <c r="B39" s="4">
        <v>17</v>
      </c>
      <c r="C39" s="5">
        <v>415000</v>
      </c>
      <c r="D39" s="6" t="s">
        <v>79</v>
      </c>
      <c r="E39" s="5"/>
      <c r="F39" s="6" t="s">
        <v>90</v>
      </c>
      <c r="G39" s="6" t="s">
        <v>91</v>
      </c>
      <c r="H39" s="7">
        <v>46054</v>
      </c>
      <c r="I39" s="5" t="s">
        <v>17</v>
      </c>
      <c r="J39" s="6" t="s">
        <v>18</v>
      </c>
    </row>
    <row r="40" spans="2:10" ht="40.15" customHeight="1">
      <c r="B40" s="4">
        <v>18</v>
      </c>
      <c r="C40" s="5">
        <v>500000</v>
      </c>
      <c r="D40" s="6" t="s">
        <v>79</v>
      </c>
      <c r="E40" s="5"/>
      <c r="F40" s="6" t="s">
        <v>92</v>
      </c>
      <c r="G40" s="6" t="s">
        <v>93</v>
      </c>
      <c r="H40" s="7">
        <v>44958</v>
      </c>
      <c r="I40" s="5" t="s">
        <v>17</v>
      </c>
      <c r="J40" s="6" t="s">
        <v>18</v>
      </c>
    </row>
    <row r="41" spans="2:10" ht="40.15" customHeight="1">
      <c r="B41" s="4">
        <v>19</v>
      </c>
      <c r="C41" s="5">
        <v>420000</v>
      </c>
      <c r="D41" s="6" t="s">
        <v>79</v>
      </c>
      <c r="E41" s="5"/>
      <c r="F41" s="6" t="s">
        <v>94</v>
      </c>
      <c r="G41" s="6" t="s">
        <v>95</v>
      </c>
      <c r="H41" s="7">
        <v>45139</v>
      </c>
      <c r="I41" s="5" t="s">
        <v>17</v>
      </c>
      <c r="J41" s="6" t="s">
        <v>18</v>
      </c>
    </row>
    <row r="42" spans="2:10" ht="40.15" customHeight="1">
      <c r="B42" s="4">
        <v>20</v>
      </c>
      <c r="C42" s="5">
        <v>435000</v>
      </c>
      <c r="D42" s="6" t="s">
        <v>79</v>
      </c>
      <c r="E42" s="5"/>
      <c r="F42" s="6" t="s">
        <v>96</v>
      </c>
      <c r="G42" s="6" t="s">
        <v>97</v>
      </c>
      <c r="H42" s="7">
        <v>44927</v>
      </c>
      <c r="I42" s="5" t="s">
        <v>17</v>
      </c>
      <c r="J42" s="6" t="s">
        <v>18</v>
      </c>
    </row>
    <row r="43" spans="2:10" ht="40.15" customHeight="1">
      <c r="B43" s="4">
        <v>21</v>
      </c>
      <c r="C43" s="5">
        <v>360000</v>
      </c>
      <c r="D43" s="6" t="s">
        <v>79</v>
      </c>
      <c r="E43" s="5"/>
      <c r="F43" s="6" t="s">
        <v>98</v>
      </c>
      <c r="G43" s="6" t="s">
        <v>99</v>
      </c>
      <c r="H43" s="7">
        <v>44927</v>
      </c>
      <c r="I43" s="5" t="s">
        <v>17</v>
      </c>
      <c r="J43" s="6" t="s">
        <v>18</v>
      </c>
    </row>
    <row r="44" spans="2:10" ht="40.15" customHeight="1">
      <c r="B44" s="4">
        <v>22</v>
      </c>
      <c r="C44" s="5">
        <v>420000</v>
      </c>
      <c r="D44" s="6" t="s">
        <v>79</v>
      </c>
      <c r="E44" s="5"/>
      <c r="F44" s="6" t="s">
        <v>100</v>
      </c>
      <c r="G44" s="6" t="s">
        <v>101</v>
      </c>
      <c r="H44" s="7">
        <v>44927</v>
      </c>
      <c r="I44" s="5" t="s">
        <v>17</v>
      </c>
      <c r="J44" s="6" t="s">
        <v>18</v>
      </c>
    </row>
    <row r="45" spans="2:10" ht="40.15" customHeight="1">
      <c r="B45" s="4">
        <v>23</v>
      </c>
      <c r="C45" s="5">
        <v>385000</v>
      </c>
      <c r="D45" s="6" t="s">
        <v>79</v>
      </c>
      <c r="E45" s="5"/>
      <c r="F45" s="6" t="s">
        <v>102</v>
      </c>
      <c r="G45" s="6" t="s">
        <v>103</v>
      </c>
      <c r="H45" s="7">
        <v>44927</v>
      </c>
      <c r="I45" s="5" t="s">
        <v>17</v>
      </c>
      <c r="J45" s="6" t="s">
        <v>18</v>
      </c>
    </row>
    <row r="46" spans="2:10" ht="40.15" customHeight="1">
      <c r="B46" s="4">
        <v>24</v>
      </c>
      <c r="C46" s="5">
        <v>365000</v>
      </c>
      <c r="D46" s="6" t="s">
        <v>79</v>
      </c>
      <c r="E46" s="5"/>
      <c r="F46" s="6" t="s">
        <v>104</v>
      </c>
      <c r="G46" s="6" t="s">
        <v>105</v>
      </c>
      <c r="H46" s="7">
        <v>44927</v>
      </c>
      <c r="I46" s="5" t="s">
        <v>17</v>
      </c>
      <c r="J46" s="6" t="s">
        <v>18</v>
      </c>
    </row>
    <row r="47" spans="2:10" ht="40.15" customHeight="1">
      <c r="B47" s="4">
        <v>25</v>
      </c>
      <c r="C47" s="5">
        <v>410000</v>
      </c>
      <c r="D47" s="6" t="s">
        <v>79</v>
      </c>
      <c r="E47" s="5"/>
      <c r="F47" s="6" t="s">
        <v>106</v>
      </c>
      <c r="G47" s="6" t="s">
        <v>107</v>
      </c>
      <c r="H47" s="7">
        <v>44927</v>
      </c>
      <c r="I47" s="5" t="s">
        <v>17</v>
      </c>
      <c r="J47" s="6" t="s">
        <v>18</v>
      </c>
    </row>
    <row r="48" spans="2:10" ht="40.15" customHeight="1">
      <c r="B48" s="4">
        <v>26</v>
      </c>
      <c r="C48" s="5">
        <v>360000</v>
      </c>
      <c r="D48" s="6" t="s">
        <v>108</v>
      </c>
      <c r="E48" s="5">
        <v>29503515</v>
      </c>
      <c r="F48" s="6" t="s">
        <v>109</v>
      </c>
      <c r="G48" s="6" t="s">
        <v>110</v>
      </c>
      <c r="H48" s="7">
        <v>44927</v>
      </c>
      <c r="I48" s="5" t="s">
        <v>17</v>
      </c>
      <c r="J48" s="6" t="s">
        <v>18</v>
      </c>
    </row>
    <row r="49" spans="2:10" ht="40.15" customHeight="1">
      <c r="B49" s="4">
        <v>27</v>
      </c>
      <c r="C49" s="5">
        <v>345000</v>
      </c>
      <c r="D49" s="6" t="s">
        <v>108</v>
      </c>
      <c r="E49" s="5"/>
      <c r="F49" s="6" t="s">
        <v>111</v>
      </c>
      <c r="G49" s="6" t="s">
        <v>112</v>
      </c>
      <c r="H49" s="7">
        <v>44927</v>
      </c>
      <c r="I49" s="5" t="s">
        <v>17</v>
      </c>
      <c r="J49" s="6" t="s">
        <v>18</v>
      </c>
    </row>
    <row r="50" spans="2:10" ht="40.15" customHeight="1">
      <c r="B50" s="4">
        <v>28</v>
      </c>
      <c r="C50" s="5">
        <v>310000</v>
      </c>
      <c r="D50" s="6" t="s">
        <v>108</v>
      </c>
      <c r="E50" s="5"/>
      <c r="F50" s="6" t="s">
        <v>113</v>
      </c>
      <c r="G50" s="6" t="s">
        <v>114</v>
      </c>
      <c r="H50" s="7">
        <v>44927</v>
      </c>
      <c r="I50" s="5" t="s">
        <v>17</v>
      </c>
      <c r="J50" s="6" t="s">
        <v>18</v>
      </c>
    </row>
    <row r="51" spans="2:10" ht="39.6" customHeight="1">
      <c r="B51" s="4">
        <v>29</v>
      </c>
      <c r="C51" s="5">
        <v>310000</v>
      </c>
      <c r="D51" s="6" t="s">
        <v>108</v>
      </c>
      <c r="E51" s="5"/>
      <c r="F51" s="6" t="s">
        <v>115</v>
      </c>
      <c r="G51" s="6" t="s">
        <v>116</v>
      </c>
      <c r="H51" s="7">
        <v>44927</v>
      </c>
      <c r="I51" s="5" t="s">
        <v>17</v>
      </c>
      <c r="J51" s="6" t="s">
        <v>18</v>
      </c>
    </row>
    <row r="52" spans="2:10" ht="39.6" customHeight="1">
      <c r="B52" s="4">
        <v>30</v>
      </c>
      <c r="C52" s="5">
        <v>360000</v>
      </c>
      <c r="D52" s="6" t="s">
        <v>108</v>
      </c>
      <c r="E52" s="5"/>
      <c r="F52" s="6" t="s">
        <v>117</v>
      </c>
      <c r="G52" s="6" t="s">
        <v>118</v>
      </c>
      <c r="H52" s="7">
        <v>44927</v>
      </c>
      <c r="I52" s="5" t="s">
        <v>17</v>
      </c>
      <c r="J52" s="6" t="s">
        <v>18</v>
      </c>
    </row>
    <row r="53" spans="2:10" ht="40.15" customHeight="1">
      <c r="B53" s="4">
        <v>31</v>
      </c>
      <c r="C53" s="5">
        <v>390000</v>
      </c>
      <c r="D53" s="6" t="s">
        <v>108</v>
      </c>
      <c r="E53" s="5"/>
      <c r="F53" s="6" t="s">
        <v>119</v>
      </c>
      <c r="G53" s="6" t="s">
        <v>120</v>
      </c>
      <c r="H53" s="7">
        <v>44927</v>
      </c>
      <c r="I53" s="5" t="s">
        <v>17</v>
      </c>
      <c r="J53" s="6" t="s">
        <v>18</v>
      </c>
    </row>
    <row r="54" spans="2:10" ht="39.6" customHeight="1">
      <c r="B54" s="4">
        <v>32</v>
      </c>
      <c r="C54" s="5">
        <v>345000</v>
      </c>
      <c r="D54" s="6" t="s">
        <v>108</v>
      </c>
      <c r="E54" s="5"/>
      <c r="F54" s="6" t="s">
        <v>121</v>
      </c>
      <c r="G54" s="6" t="s">
        <v>122</v>
      </c>
      <c r="H54" s="7">
        <v>44927</v>
      </c>
      <c r="I54" s="5" t="s">
        <v>17</v>
      </c>
      <c r="J54" s="6" t="s">
        <v>18</v>
      </c>
    </row>
    <row r="55" spans="2:10" ht="39.6" customHeight="1">
      <c r="B55" s="4">
        <v>33</v>
      </c>
      <c r="C55" s="5">
        <v>375000</v>
      </c>
      <c r="D55" s="6" t="s">
        <v>108</v>
      </c>
      <c r="E55" s="5"/>
      <c r="F55" s="6" t="s">
        <v>123</v>
      </c>
      <c r="G55" s="6" t="s">
        <v>124</v>
      </c>
      <c r="H55" s="7">
        <v>44927</v>
      </c>
      <c r="I55" s="5" t="s">
        <v>17</v>
      </c>
      <c r="J55" s="6" t="s">
        <v>18</v>
      </c>
    </row>
    <row r="56" spans="2:10">
      <c r="C56" s="8">
        <f>SUM(C10:C55)</f>
        <v>16114000</v>
      </c>
    </row>
  </sheetData>
  <mergeCells count="5">
    <mergeCell ref="B2:J3"/>
    <mergeCell ref="C5:E5"/>
    <mergeCell ref="C6:E6"/>
    <mergeCell ref="C7:E7"/>
    <mergeCell ref="F5:J7"/>
  </mergeCells>
  <phoneticPr fontId="19" type="noConversion"/>
  <dataValidations count="1">
    <dataValidation type="list" allowBlank="1" showInputMessage="1" showErrorMessage="1" sqref="J10:J55" xr:uid="{00000000-0002-0000-0000-000000000000}">
      <formula1>$C$44:$C$47</formula1>
    </dataValidation>
  </dataValidation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Banco BCI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FREDDY Sin Dato ARANCIBIA VIELMA</dc:creator>
  <cp:keywords/>
  <dc:description/>
  <cp:lastModifiedBy>Rodrigo Jara Bustamante</cp:lastModifiedBy>
  <cp:revision/>
  <dcterms:created xsi:type="dcterms:W3CDTF">2016-05-13T18:52:09Z</dcterms:created>
  <dcterms:modified xsi:type="dcterms:W3CDTF">2026-08-01T07:25:35Z</dcterms:modified>
  <cp:category/>
  <cp:contentStatus/>
</cp:coreProperties>
</file>